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DATA ANALYSIS\"/>
    </mc:Choice>
  </mc:AlternateContent>
  <xr:revisionPtr revIDLastSave="0" documentId="13_ncr:1_{8322B370-795F-499F-AE5A-B4F69A236BC1}" xr6:coauthVersionLast="47" xr6:coauthVersionMax="47" xr10:uidLastSave="{00000000-0000-0000-0000-000000000000}"/>
  <bookViews>
    <workbookView xWindow="-120" yWindow="-120" windowWidth="20730" windowHeight="11040" firstSheet="1" activeTab="1" xr2:uid="{0D790D79-1AE2-48E2-BFCA-CD0EF5C7ADB7}"/>
  </bookViews>
  <sheets>
    <sheet name="Sheet2" sheetId="3" state="hidden" r:id="rId1"/>
    <sheet name="Dashboard" sheetId="4" r:id="rId2"/>
    <sheet name="Order by sales" sheetId="2" r:id="rId3"/>
    <sheet name="Sheet1" sheetId="1" state="hidden" r:id="rId4"/>
  </sheets>
  <definedNames>
    <definedName name="_xlchart.v5.0" hidden="1">Sheet2!$I$20</definedName>
    <definedName name="_xlchart.v5.1" hidden="1">Sheet2!$I$21:$I$32</definedName>
    <definedName name="_xlchart.v5.2" hidden="1">Sheet2!$J$20</definedName>
    <definedName name="_xlchart.v5.3" hidden="1">Sheet2!$J$21:$J$32</definedName>
    <definedName name="_xlchart.v5.4" hidden="1">Sheet2!$I$20</definedName>
    <definedName name="_xlchart.v5.5" hidden="1">Sheet2!$I$21:$I$32</definedName>
    <definedName name="_xlchart.v5.6" hidden="1">Sheet2!$J$20</definedName>
    <definedName name="_xlchart.v5.7" hidden="1">Sheet2!$J$21:$J$32</definedName>
    <definedName name="ExternalData_1" localSheetId="2" hidden="1">'Order by sales'!$A$1:$J$1301</definedName>
    <definedName name="Slicer_Date">#N/A</definedName>
    <definedName name="Slicer_Item">#N/A</definedName>
    <definedName name="Slicer_Sales_Rep">#N/A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9" i="3" l="1"/>
  <c r="B3" i="4"/>
  <c r="R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8F8CAF-E9FD-44D2-A467-7500AA8CE3BB}" keepAlive="1" name="Query - Order by sales" description="Connection to the 'Order by sales' query in the workbook." type="5" refreshedVersion="8" background="1" saveData="1">
    <dbPr connection="Provider=Microsoft.Mashup.OleDb.1;Data Source=$Workbook$;Location=&quot;Order by sales&quot;;Extended Properties=&quot;&quot;" command="SELECT * FROM [Order by sales]"/>
  </connection>
</connections>
</file>

<file path=xl/sharedStrings.xml><?xml version="1.0" encoding="utf-8"?>
<sst xmlns="http://schemas.openxmlformats.org/spreadsheetml/2006/main" count="5272" uniqueCount="1342">
  <si>
    <t>Order No</t>
  </si>
  <si>
    <t>Date</t>
  </si>
  <si>
    <t>Item</t>
  </si>
  <si>
    <t>Sales Rep</t>
  </si>
  <si>
    <t>Quantity</t>
  </si>
  <si>
    <t>Price</t>
  </si>
  <si>
    <t>Total Price</t>
  </si>
  <si>
    <t>Commission</t>
  </si>
  <si>
    <t>Total Value (With Commisio)</t>
  </si>
  <si>
    <t>State</t>
  </si>
  <si>
    <t>Order-1</t>
  </si>
  <si>
    <t>Printer</t>
  </si>
  <si>
    <t>John</t>
  </si>
  <si>
    <t>Meghalaya</t>
  </si>
  <si>
    <t>Order-2</t>
  </si>
  <si>
    <t>White Board</t>
  </si>
  <si>
    <t>Mark</t>
  </si>
  <si>
    <t>Uttar Pradesh</t>
  </si>
  <si>
    <t>Order-3</t>
  </si>
  <si>
    <t>Office Chair</t>
  </si>
  <si>
    <t>Maharashtra</t>
  </si>
  <si>
    <t>Order-4</t>
  </si>
  <si>
    <t>Delhi</t>
  </si>
  <si>
    <t>Order-5</t>
  </si>
  <si>
    <t>Laura</t>
  </si>
  <si>
    <t>West Bengal</t>
  </si>
  <si>
    <t>Order-6</t>
  </si>
  <si>
    <t>Stacey</t>
  </si>
  <si>
    <t>Bihar</t>
  </si>
  <si>
    <t>Order-7</t>
  </si>
  <si>
    <t>Diary</t>
  </si>
  <si>
    <t>Bob</t>
  </si>
  <si>
    <t>Goa</t>
  </si>
  <si>
    <t>Order-8</t>
  </si>
  <si>
    <t>Projector</t>
  </si>
  <si>
    <t>Karnataka</t>
  </si>
  <si>
    <t>Order-9</t>
  </si>
  <si>
    <t>Gujarat</t>
  </si>
  <si>
    <t>Order-10</t>
  </si>
  <si>
    <t>Jharkhand</t>
  </si>
  <si>
    <t>Order-11</t>
  </si>
  <si>
    <t>Haryana</t>
  </si>
  <si>
    <t>Order-12</t>
  </si>
  <si>
    <t>Kerala</t>
  </si>
  <si>
    <t>Order-13</t>
  </si>
  <si>
    <t>Order-14</t>
  </si>
  <si>
    <t>Order-15</t>
  </si>
  <si>
    <t>Order-16</t>
  </si>
  <si>
    <t>Order-17</t>
  </si>
  <si>
    <t>Order-18</t>
  </si>
  <si>
    <t>Order-19</t>
  </si>
  <si>
    <t>Order-20</t>
  </si>
  <si>
    <t>Order-21</t>
  </si>
  <si>
    <t>Order-22</t>
  </si>
  <si>
    <t>Order-23</t>
  </si>
  <si>
    <t>Order-24</t>
  </si>
  <si>
    <t>Order-25</t>
  </si>
  <si>
    <t>Order-26</t>
  </si>
  <si>
    <t>Order-27</t>
  </si>
  <si>
    <t>Order-28</t>
  </si>
  <si>
    <t>Order-29</t>
  </si>
  <si>
    <t>Order-30</t>
  </si>
  <si>
    <t>Order-31</t>
  </si>
  <si>
    <t>Order-32</t>
  </si>
  <si>
    <t>Order-33</t>
  </si>
  <si>
    <t>Order-34</t>
  </si>
  <si>
    <t>Order-35</t>
  </si>
  <si>
    <t>Order-36</t>
  </si>
  <si>
    <t>Order-37</t>
  </si>
  <si>
    <t>Order-38</t>
  </si>
  <si>
    <t>Order-39</t>
  </si>
  <si>
    <t>Order-40</t>
  </si>
  <si>
    <t>Order-41</t>
  </si>
  <si>
    <t>Order-42</t>
  </si>
  <si>
    <t>Order-43</t>
  </si>
  <si>
    <t>Order-44</t>
  </si>
  <si>
    <t>Order-45</t>
  </si>
  <si>
    <t>Order-46</t>
  </si>
  <si>
    <t>Order-47</t>
  </si>
  <si>
    <t>Order-48</t>
  </si>
  <si>
    <t>Order-49</t>
  </si>
  <si>
    <t>Order-50</t>
  </si>
  <si>
    <t>Order-51</t>
  </si>
  <si>
    <t>Order-52</t>
  </si>
  <si>
    <t>Order-53</t>
  </si>
  <si>
    <t>Order-54</t>
  </si>
  <si>
    <t>Order-55</t>
  </si>
  <si>
    <t>Order-56</t>
  </si>
  <si>
    <t>Order-57</t>
  </si>
  <si>
    <t>Order-58</t>
  </si>
  <si>
    <t>Order-59</t>
  </si>
  <si>
    <t>Order-60</t>
  </si>
  <si>
    <t>Order-61</t>
  </si>
  <si>
    <t>Order-62</t>
  </si>
  <si>
    <t>Order-63</t>
  </si>
  <si>
    <t>Order-64</t>
  </si>
  <si>
    <t>Order-65</t>
  </si>
  <si>
    <t>Order-66</t>
  </si>
  <si>
    <t>Order-67</t>
  </si>
  <si>
    <t>Order-68</t>
  </si>
  <si>
    <t>Order-69</t>
  </si>
  <si>
    <t>Order-70</t>
  </si>
  <si>
    <t>Order-71</t>
  </si>
  <si>
    <t>Order-72</t>
  </si>
  <si>
    <t>Order-73</t>
  </si>
  <si>
    <t>Order-74</t>
  </si>
  <si>
    <t>Order-75</t>
  </si>
  <si>
    <t>Order-76</t>
  </si>
  <si>
    <t>Order-77</t>
  </si>
  <si>
    <t>Order-78</t>
  </si>
  <si>
    <t>Order-79</t>
  </si>
  <si>
    <t>Order-80</t>
  </si>
  <si>
    <t>Order-81</t>
  </si>
  <si>
    <t>Order-82</t>
  </si>
  <si>
    <t>Order-83</t>
  </si>
  <si>
    <t>Order-84</t>
  </si>
  <si>
    <t>Order-85</t>
  </si>
  <si>
    <t>Order-86</t>
  </si>
  <si>
    <t>Order-87</t>
  </si>
  <si>
    <t>Order-88</t>
  </si>
  <si>
    <t>Order-89</t>
  </si>
  <si>
    <t>Order-90</t>
  </si>
  <si>
    <t>Order-91</t>
  </si>
  <si>
    <t>Order-92</t>
  </si>
  <si>
    <t>Order-93</t>
  </si>
  <si>
    <t>Order-94</t>
  </si>
  <si>
    <t>Order-95</t>
  </si>
  <si>
    <t>Order-96</t>
  </si>
  <si>
    <t>Order-97</t>
  </si>
  <si>
    <t>Order-98</t>
  </si>
  <si>
    <t>Order-99</t>
  </si>
  <si>
    <t>Order-100</t>
  </si>
  <si>
    <t>Order-101</t>
  </si>
  <si>
    <t>Order-102</t>
  </si>
  <si>
    <t>Order-103</t>
  </si>
  <si>
    <t>Order-104</t>
  </si>
  <si>
    <t>Order-105</t>
  </si>
  <si>
    <t>Order-106</t>
  </si>
  <si>
    <t>Order-107</t>
  </si>
  <si>
    <t>Order-108</t>
  </si>
  <si>
    <t>Order-109</t>
  </si>
  <si>
    <t>Order-110</t>
  </si>
  <si>
    <t>Order-111</t>
  </si>
  <si>
    <t>Order-112</t>
  </si>
  <si>
    <t>Order-113</t>
  </si>
  <si>
    <t>Order-114</t>
  </si>
  <si>
    <t>Order-115</t>
  </si>
  <si>
    <t>Order-116</t>
  </si>
  <si>
    <t>Order-117</t>
  </si>
  <si>
    <t>Order-118</t>
  </si>
  <si>
    <t>Order-119</t>
  </si>
  <si>
    <t>Order-120</t>
  </si>
  <si>
    <t>Order-121</t>
  </si>
  <si>
    <t>Order-122</t>
  </si>
  <si>
    <t>Order-123</t>
  </si>
  <si>
    <t>Order-124</t>
  </si>
  <si>
    <t>Order-125</t>
  </si>
  <si>
    <t>Order-126</t>
  </si>
  <si>
    <t>Order-127</t>
  </si>
  <si>
    <t>Order-128</t>
  </si>
  <si>
    <t>Order-129</t>
  </si>
  <si>
    <t>Order-130</t>
  </si>
  <si>
    <t>Order-131</t>
  </si>
  <si>
    <t>Order-132</t>
  </si>
  <si>
    <t>Order-133</t>
  </si>
  <si>
    <t>Order-134</t>
  </si>
  <si>
    <t>Order-135</t>
  </si>
  <si>
    <t>Order-136</t>
  </si>
  <si>
    <t>Order-137</t>
  </si>
  <si>
    <t>Order-138</t>
  </si>
  <si>
    <t>Order-139</t>
  </si>
  <si>
    <t>Order-140</t>
  </si>
  <si>
    <t>Order-141</t>
  </si>
  <si>
    <t>Order-142</t>
  </si>
  <si>
    <t>Order-143</t>
  </si>
  <si>
    <t>Order-144</t>
  </si>
  <si>
    <t>Order-145</t>
  </si>
  <si>
    <t>Order-146</t>
  </si>
  <si>
    <t>Order-147</t>
  </si>
  <si>
    <t>Order-148</t>
  </si>
  <si>
    <t>Order-149</t>
  </si>
  <si>
    <t>Order-150</t>
  </si>
  <si>
    <t>Order-151</t>
  </si>
  <si>
    <t>Order-152</t>
  </si>
  <si>
    <t>Order-153</t>
  </si>
  <si>
    <t>Order-154</t>
  </si>
  <si>
    <t>Order-155</t>
  </si>
  <si>
    <t>Order-156</t>
  </si>
  <si>
    <t>Order-157</t>
  </si>
  <si>
    <t>Order-158</t>
  </si>
  <si>
    <t>Order-159</t>
  </si>
  <si>
    <t>Order-160</t>
  </si>
  <si>
    <t>Order-161</t>
  </si>
  <si>
    <t>Order-162</t>
  </si>
  <si>
    <t>Order-163</t>
  </si>
  <si>
    <t>Order-164</t>
  </si>
  <si>
    <t>Order-165</t>
  </si>
  <si>
    <t>Order-166</t>
  </si>
  <si>
    <t>Order-167</t>
  </si>
  <si>
    <t>Order-168</t>
  </si>
  <si>
    <t>Order-169</t>
  </si>
  <si>
    <t>Order-170</t>
  </si>
  <si>
    <t>Order-171</t>
  </si>
  <si>
    <t>Order-172</t>
  </si>
  <si>
    <t>Order-173</t>
  </si>
  <si>
    <t>Order-174</t>
  </si>
  <si>
    <t>Order-175</t>
  </si>
  <si>
    <t>Order-176</t>
  </si>
  <si>
    <t>Order-177</t>
  </si>
  <si>
    <t>Order-178</t>
  </si>
  <si>
    <t>Order-179</t>
  </si>
  <si>
    <t>Order-180</t>
  </si>
  <si>
    <t>Order-181</t>
  </si>
  <si>
    <t>Order-182</t>
  </si>
  <si>
    <t>Order-183</t>
  </si>
  <si>
    <t>Order-184</t>
  </si>
  <si>
    <t>Order-185</t>
  </si>
  <si>
    <t>Order-186</t>
  </si>
  <si>
    <t>Order-187</t>
  </si>
  <si>
    <t>Order-188</t>
  </si>
  <si>
    <t>Order-189</t>
  </si>
  <si>
    <t>Order-190</t>
  </si>
  <si>
    <t>Order-191</t>
  </si>
  <si>
    <t>Order-192</t>
  </si>
  <si>
    <t>Order-193</t>
  </si>
  <si>
    <t>Order-194</t>
  </si>
  <si>
    <t>Order-195</t>
  </si>
  <si>
    <t>Order-196</t>
  </si>
  <si>
    <t>Order-197</t>
  </si>
  <si>
    <t>Order-198</t>
  </si>
  <si>
    <t>Order-199</t>
  </si>
  <si>
    <t>Order-200</t>
  </si>
  <si>
    <t>Order-201</t>
  </si>
  <si>
    <t>Order-202</t>
  </si>
  <si>
    <t>Order-203</t>
  </si>
  <si>
    <t>Order-204</t>
  </si>
  <si>
    <t>Order-205</t>
  </si>
  <si>
    <t>Order-206</t>
  </si>
  <si>
    <t>Order-207</t>
  </si>
  <si>
    <t>Order-208</t>
  </si>
  <si>
    <t>Order-209</t>
  </si>
  <si>
    <t>Order-210</t>
  </si>
  <si>
    <t>Order-211</t>
  </si>
  <si>
    <t>Order-212</t>
  </si>
  <si>
    <t>Order-213</t>
  </si>
  <si>
    <t>Order-214</t>
  </si>
  <si>
    <t>Order-215</t>
  </si>
  <si>
    <t>Order-216</t>
  </si>
  <si>
    <t>Order-217</t>
  </si>
  <si>
    <t>Order-218</t>
  </si>
  <si>
    <t>Order-219</t>
  </si>
  <si>
    <t>Order-220</t>
  </si>
  <si>
    <t>Order-221</t>
  </si>
  <si>
    <t>Order-222</t>
  </si>
  <si>
    <t>Order-223</t>
  </si>
  <si>
    <t>Order-224</t>
  </si>
  <si>
    <t>Order-225</t>
  </si>
  <si>
    <t>Order-226</t>
  </si>
  <si>
    <t>Order-227</t>
  </si>
  <si>
    <t>Order-228</t>
  </si>
  <si>
    <t>Order-229</t>
  </si>
  <si>
    <t>Order-230</t>
  </si>
  <si>
    <t>Order-231</t>
  </si>
  <si>
    <t>Order-232</t>
  </si>
  <si>
    <t>Order-233</t>
  </si>
  <si>
    <t>Order-234</t>
  </si>
  <si>
    <t>Order-235</t>
  </si>
  <si>
    <t>Order-236</t>
  </si>
  <si>
    <t>Order-237</t>
  </si>
  <si>
    <t>Order-238</t>
  </si>
  <si>
    <t>Order-239</t>
  </si>
  <si>
    <t>Order-240</t>
  </si>
  <si>
    <t>Order-241</t>
  </si>
  <si>
    <t>Order-242</t>
  </si>
  <si>
    <t>Order-243</t>
  </si>
  <si>
    <t>Order-244</t>
  </si>
  <si>
    <t>Order-245</t>
  </si>
  <si>
    <t>Order-246</t>
  </si>
  <si>
    <t>Order-247</t>
  </si>
  <si>
    <t>Order-248</t>
  </si>
  <si>
    <t>Order-249</t>
  </si>
  <si>
    <t>Order-250</t>
  </si>
  <si>
    <t>Order-251</t>
  </si>
  <si>
    <t>Order-252</t>
  </si>
  <si>
    <t>Order-253</t>
  </si>
  <si>
    <t>Order-254</t>
  </si>
  <si>
    <t>Order-255</t>
  </si>
  <si>
    <t>Order-256</t>
  </si>
  <si>
    <t>Order-257</t>
  </si>
  <si>
    <t>Order-258</t>
  </si>
  <si>
    <t>Order-259</t>
  </si>
  <si>
    <t>Order-260</t>
  </si>
  <si>
    <t>Order-261</t>
  </si>
  <si>
    <t>Order-262</t>
  </si>
  <si>
    <t>Order-263</t>
  </si>
  <si>
    <t>Order-264</t>
  </si>
  <si>
    <t>Order-265</t>
  </si>
  <si>
    <t>Order-266</t>
  </si>
  <si>
    <t>Order-267</t>
  </si>
  <si>
    <t>Order-268</t>
  </si>
  <si>
    <t>Order-269</t>
  </si>
  <si>
    <t>Order-270</t>
  </si>
  <si>
    <t>Order-271</t>
  </si>
  <si>
    <t>Order-272</t>
  </si>
  <si>
    <t>Order-273</t>
  </si>
  <si>
    <t>Order-274</t>
  </si>
  <si>
    <t>Order-275</t>
  </si>
  <si>
    <t>Order-276</t>
  </si>
  <si>
    <t>Order-277</t>
  </si>
  <si>
    <t>Order-278</t>
  </si>
  <si>
    <t>Order-279</t>
  </si>
  <si>
    <t>Order-280</t>
  </si>
  <si>
    <t>Order-281</t>
  </si>
  <si>
    <t>Order-282</t>
  </si>
  <si>
    <t>Order-283</t>
  </si>
  <si>
    <t>Order-284</t>
  </si>
  <si>
    <t>Order-285</t>
  </si>
  <si>
    <t>Order-286</t>
  </si>
  <si>
    <t>Order-287</t>
  </si>
  <si>
    <t>Order-288</t>
  </si>
  <si>
    <t>Order-289</t>
  </si>
  <si>
    <t>Order-290</t>
  </si>
  <si>
    <t>Order-291</t>
  </si>
  <si>
    <t>Order-292</t>
  </si>
  <si>
    <t>Order-293</t>
  </si>
  <si>
    <t>Order-294</t>
  </si>
  <si>
    <t>Order-295</t>
  </si>
  <si>
    <t>Order-296</t>
  </si>
  <si>
    <t>Order-297</t>
  </si>
  <si>
    <t>Order-298</t>
  </si>
  <si>
    <t>Order-299</t>
  </si>
  <si>
    <t>Order-300</t>
  </si>
  <si>
    <t>Order-301</t>
  </si>
  <si>
    <t>Order-302</t>
  </si>
  <si>
    <t>Order-303</t>
  </si>
  <si>
    <t>Order-304</t>
  </si>
  <si>
    <t>Order-305</t>
  </si>
  <si>
    <t>Order-306</t>
  </si>
  <si>
    <t>Order-307</t>
  </si>
  <si>
    <t>Order-308</t>
  </si>
  <si>
    <t>Order-309</t>
  </si>
  <si>
    <t>Order-310</t>
  </si>
  <si>
    <t>Order-311</t>
  </si>
  <si>
    <t>Order-312</t>
  </si>
  <si>
    <t>Order-313</t>
  </si>
  <si>
    <t>Order-314</t>
  </si>
  <si>
    <t>Order-315</t>
  </si>
  <si>
    <t>Order-316</t>
  </si>
  <si>
    <t>Order-317</t>
  </si>
  <si>
    <t>Order-318</t>
  </si>
  <si>
    <t>Order-319</t>
  </si>
  <si>
    <t>Order-320</t>
  </si>
  <si>
    <t>Order-321</t>
  </si>
  <si>
    <t>Order-322</t>
  </si>
  <si>
    <t>Order-323</t>
  </si>
  <si>
    <t>Order-324</t>
  </si>
  <si>
    <t>Order-325</t>
  </si>
  <si>
    <t>Order-326</t>
  </si>
  <si>
    <t>Order-327</t>
  </si>
  <si>
    <t>Order-328</t>
  </si>
  <si>
    <t>Order-329</t>
  </si>
  <si>
    <t>Order-330</t>
  </si>
  <si>
    <t>Order-331</t>
  </si>
  <si>
    <t>Order-332</t>
  </si>
  <si>
    <t>Order-333</t>
  </si>
  <si>
    <t>Order-334</t>
  </si>
  <si>
    <t>Order-335</t>
  </si>
  <si>
    <t>Order-336</t>
  </si>
  <si>
    <t>Order-337</t>
  </si>
  <si>
    <t>Order-338</t>
  </si>
  <si>
    <t>Order-339</t>
  </si>
  <si>
    <t>Order-340</t>
  </si>
  <si>
    <t>Order-341</t>
  </si>
  <si>
    <t>Order-342</t>
  </si>
  <si>
    <t>Order-343</t>
  </si>
  <si>
    <t>Order-344</t>
  </si>
  <si>
    <t>Order-345</t>
  </si>
  <si>
    <t>Order-346</t>
  </si>
  <si>
    <t>Order-347</t>
  </si>
  <si>
    <t>Order-348</t>
  </si>
  <si>
    <t>Order-349</t>
  </si>
  <si>
    <t>Order-350</t>
  </si>
  <si>
    <t>Order-351</t>
  </si>
  <si>
    <t>Order-352</t>
  </si>
  <si>
    <t>Order-353</t>
  </si>
  <si>
    <t>Order-354</t>
  </si>
  <si>
    <t>Order-355</t>
  </si>
  <si>
    <t>Order-356</t>
  </si>
  <si>
    <t>Order-357</t>
  </si>
  <si>
    <t>Order-358</t>
  </si>
  <si>
    <t>Order-359</t>
  </si>
  <si>
    <t>Order-360</t>
  </si>
  <si>
    <t>Order-361</t>
  </si>
  <si>
    <t>Order-362</t>
  </si>
  <si>
    <t>Order-363</t>
  </si>
  <si>
    <t>Order-364</t>
  </si>
  <si>
    <t>Order-365</t>
  </si>
  <si>
    <t>Order-366</t>
  </si>
  <si>
    <t>Order-367</t>
  </si>
  <si>
    <t>Order-368</t>
  </si>
  <si>
    <t>Order-369</t>
  </si>
  <si>
    <t>Order-370</t>
  </si>
  <si>
    <t>Order-371</t>
  </si>
  <si>
    <t>Order-372</t>
  </si>
  <si>
    <t>Order-373</t>
  </si>
  <si>
    <t>Order-374</t>
  </si>
  <si>
    <t>Order-375</t>
  </si>
  <si>
    <t>Order-376</t>
  </si>
  <si>
    <t>Order-377</t>
  </si>
  <si>
    <t>Order-378</t>
  </si>
  <si>
    <t>Order-379</t>
  </si>
  <si>
    <t>Order-380</t>
  </si>
  <si>
    <t>Order-381</t>
  </si>
  <si>
    <t>Order-382</t>
  </si>
  <si>
    <t>Order-383</t>
  </si>
  <si>
    <t>Order-384</t>
  </si>
  <si>
    <t>Order-385</t>
  </si>
  <si>
    <t>Order-386</t>
  </si>
  <si>
    <t>Order-387</t>
  </si>
  <si>
    <t>Order-388</t>
  </si>
  <si>
    <t>Order-389</t>
  </si>
  <si>
    <t>Order-390</t>
  </si>
  <si>
    <t>Order-391</t>
  </si>
  <si>
    <t>Order-392</t>
  </si>
  <si>
    <t>Order-393</t>
  </si>
  <si>
    <t>Order-394</t>
  </si>
  <si>
    <t>Order-395</t>
  </si>
  <si>
    <t>Order-396</t>
  </si>
  <si>
    <t>Order-397</t>
  </si>
  <si>
    <t>Order-398</t>
  </si>
  <si>
    <t>Order-399</t>
  </si>
  <si>
    <t>Order-400</t>
  </si>
  <si>
    <t>Order-401</t>
  </si>
  <si>
    <t>Order-402</t>
  </si>
  <si>
    <t>Order-403</t>
  </si>
  <si>
    <t>Order-404</t>
  </si>
  <si>
    <t>Order-405</t>
  </si>
  <si>
    <t>Order-406</t>
  </si>
  <si>
    <t>Order-407</t>
  </si>
  <si>
    <t>Order-408</t>
  </si>
  <si>
    <t>Order-409</t>
  </si>
  <si>
    <t>Order-410</t>
  </si>
  <si>
    <t>Order-411</t>
  </si>
  <si>
    <t>Order-412</t>
  </si>
  <si>
    <t>Order-413</t>
  </si>
  <si>
    <t>Order-414</t>
  </si>
  <si>
    <t>Order-415</t>
  </si>
  <si>
    <t>Order-416</t>
  </si>
  <si>
    <t>Order-417</t>
  </si>
  <si>
    <t>Order-418</t>
  </si>
  <si>
    <t>Order-419</t>
  </si>
  <si>
    <t>Order-420</t>
  </si>
  <si>
    <t>Order-421</t>
  </si>
  <si>
    <t>Order-422</t>
  </si>
  <si>
    <t>Order-423</t>
  </si>
  <si>
    <t>Order-424</t>
  </si>
  <si>
    <t>Order-425</t>
  </si>
  <si>
    <t>Order-426</t>
  </si>
  <si>
    <t>Order-427</t>
  </si>
  <si>
    <t>Order-428</t>
  </si>
  <si>
    <t>Order-429</t>
  </si>
  <si>
    <t>Order-430</t>
  </si>
  <si>
    <t>Order-431</t>
  </si>
  <si>
    <t>Order-432</t>
  </si>
  <si>
    <t>Order-433</t>
  </si>
  <si>
    <t>Order-434</t>
  </si>
  <si>
    <t>Order-435</t>
  </si>
  <si>
    <t>Order-436</t>
  </si>
  <si>
    <t>Order-437</t>
  </si>
  <si>
    <t>Order-438</t>
  </si>
  <si>
    <t>Order-439</t>
  </si>
  <si>
    <t>Order-440</t>
  </si>
  <si>
    <t>Order-441</t>
  </si>
  <si>
    <t>Order-442</t>
  </si>
  <si>
    <t>Order-443</t>
  </si>
  <si>
    <t>Order-444</t>
  </si>
  <si>
    <t>Order-445</t>
  </si>
  <si>
    <t>Order-446</t>
  </si>
  <si>
    <t>Order-447</t>
  </si>
  <si>
    <t>Order-448</t>
  </si>
  <si>
    <t>Order-449</t>
  </si>
  <si>
    <t>Order-450</t>
  </si>
  <si>
    <t>Order-451</t>
  </si>
  <si>
    <t>Order-452</t>
  </si>
  <si>
    <t>Order-453</t>
  </si>
  <si>
    <t>Order-454</t>
  </si>
  <si>
    <t>Order-455</t>
  </si>
  <si>
    <t>Order-456</t>
  </si>
  <si>
    <t>Order-457</t>
  </si>
  <si>
    <t>Order-458</t>
  </si>
  <si>
    <t>Order-459</t>
  </si>
  <si>
    <t>Order-460</t>
  </si>
  <si>
    <t>Order-461</t>
  </si>
  <si>
    <t>Order-462</t>
  </si>
  <si>
    <t>Order-463</t>
  </si>
  <si>
    <t>Order-464</t>
  </si>
  <si>
    <t>Order-465</t>
  </si>
  <si>
    <t>Order-466</t>
  </si>
  <si>
    <t>Order-467</t>
  </si>
  <si>
    <t>Order-468</t>
  </si>
  <si>
    <t>Order-469</t>
  </si>
  <si>
    <t>Order-470</t>
  </si>
  <si>
    <t>Order-471</t>
  </si>
  <si>
    <t>Order-472</t>
  </si>
  <si>
    <t>Order-473</t>
  </si>
  <si>
    <t>Order-474</t>
  </si>
  <si>
    <t>Order-475</t>
  </si>
  <si>
    <t>Order-476</t>
  </si>
  <si>
    <t>Order-477</t>
  </si>
  <si>
    <t>Order-478</t>
  </si>
  <si>
    <t>Order-479</t>
  </si>
  <si>
    <t>Order-480</t>
  </si>
  <si>
    <t>Order-481</t>
  </si>
  <si>
    <t>Order-482</t>
  </si>
  <si>
    <t>Order-483</t>
  </si>
  <si>
    <t>Order-484</t>
  </si>
  <si>
    <t>Order-485</t>
  </si>
  <si>
    <t>Order-486</t>
  </si>
  <si>
    <t>Order-487</t>
  </si>
  <si>
    <t>Order-488</t>
  </si>
  <si>
    <t>Order-489</t>
  </si>
  <si>
    <t>Order-490</t>
  </si>
  <si>
    <t>Order-491</t>
  </si>
  <si>
    <t>Order-492</t>
  </si>
  <si>
    <t>Order-493</t>
  </si>
  <si>
    <t>Order-494</t>
  </si>
  <si>
    <t>Order-495</t>
  </si>
  <si>
    <t>Order-496</t>
  </si>
  <si>
    <t>Order-497</t>
  </si>
  <si>
    <t>Order-498</t>
  </si>
  <si>
    <t>Order-499</t>
  </si>
  <si>
    <t>Order-500</t>
  </si>
  <si>
    <t>Order-501</t>
  </si>
  <si>
    <t>Order-502</t>
  </si>
  <si>
    <t>Order-503</t>
  </si>
  <si>
    <t>Order-504</t>
  </si>
  <si>
    <t>Order-505</t>
  </si>
  <si>
    <t>Order-506</t>
  </si>
  <si>
    <t>Order-507</t>
  </si>
  <si>
    <t>Order-508</t>
  </si>
  <si>
    <t>Order-509</t>
  </si>
  <si>
    <t>Order-510</t>
  </si>
  <si>
    <t>Order-511</t>
  </si>
  <si>
    <t>Order-512</t>
  </si>
  <si>
    <t>Order-513</t>
  </si>
  <si>
    <t>Order-514</t>
  </si>
  <si>
    <t>Order-515</t>
  </si>
  <si>
    <t>Order-516</t>
  </si>
  <si>
    <t>Order-517</t>
  </si>
  <si>
    <t>Order-518</t>
  </si>
  <si>
    <t>Order-519</t>
  </si>
  <si>
    <t>Order-520</t>
  </si>
  <si>
    <t>Order-521</t>
  </si>
  <si>
    <t>Order-522</t>
  </si>
  <si>
    <t>Order-523</t>
  </si>
  <si>
    <t>Order-524</t>
  </si>
  <si>
    <t>Order-525</t>
  </si>
  <si>
    <t>Order-526</t>
  </si>
  <si>
    <t>Order-527</t>
  </si>
  <si>
    <t>Order-528</t>
  </si>
  <si>
    <t>Order-529</t>
  </si>
  <si>
    <t>Order-530</t>
  </si>
  <si>
    <t>Order-531</t>
  </si>
  <si>
    <t>Order-532</t>
  </si>
  <si>
    <t>Order-533</t>
  </si>
  <si>
    <t>Order-534</t>
  </si>
  <si>
    <t>Order-535</t>
  </si>
  <si>
    <t>Order-536</t>
  </si>
  <si>
    <t>Order-537</t>
  </si>
  <si>
    <t>Order-538</t>
  </si>
  <si>
    <t>Order-539</t>
  </si>
  <si>
    <t>Order-540</t>
  </si>
  <si>
    <t>Order-541</t>
  </si>
  <si>
    <t>Order-542</t>
  </si>
  <si>
    <t>Order-543</t>
  </si>
  <si>
    <t>Order-544</t>
  </si>
  <si>
    <t>Order-545</t>
  </si>
  <si>
    <t>Order-546</t>
  </si>
  <si>
    <t>Order-547</t>
  </si>
  <si>
    <t>Order-548</t>
  </si>
  <si>
    <t>Order-549</t>
  </si>
  <si>
    <t>Order-550</t>
  </si>
  <si>
    <t>Order-551</t>
  </si>
  <si>
    <t>Order-552</t>
  </si>
  <si>
    <t>Order-553</t>
  </si>
  <si>
    <t>Order-554</t>
  </si>
  <si>
    <t>Order-555</t>
  </si>
  <si>
    <t>Order-556</t>
  </si>
  <si>
    <t>Order-557</t>
  </si>
  <si>
    <t>Order-558</t>
  </si>
  <si>
    <t>Order-559</t>
  </si>
  <si>
    <t>Order-560</t>
  </si>
  <si>
    <t>Order-561</t>
  </si>
  <si>
    <t>Order-562</t>
  </si>
  <si>
    <t>Order-563</t>
  </si>
  <si>
    <t>Order-564</t>
  </si>
  <si>
    <t>Order-565</t>
  </si>
  <si>
    <t>Order-566</t>
  </si>
  <si>
    <t>Order-567</t>
  </si>
  <si>
    <t>Order-568</t>
  </si>
  <si>
    <t>Order-569</t>
  </si>
  <si>
    <t>Order-570</t>
  </si>
  <si>
    <t>Order-571</t>
  </si>
  <si>
    <t>Order-572</t>
  </si>
  <si>
    <t>Order-573</t>
  </si>
  <si>
    <t>Order-574</t>
  </si>
  <si>
    <t>Order-575</t>
  </si>
  <si>
    <t>Order-576</t>
  </si>
  <si>
    <t>Order-577</t>
  </si>
  <si>
    <t>Order-578</t>
  </si>
  <si>
    <t>Order-579</t>
  </si>
  <si>
    <t>Order-580</t>
  </si>
  <si>
    <t>Order-581</t>
  </si>
  <si>
    <t>Order-582</t>
  </si>
  <si>
    <t>Order-583</t>
  </si>
  <si>
    <t>Order-584</t>
  </si>
  <si>
    <t>Order-585</t>
  </si>
  <si>
    <t>Order-586</t>
  </si>
  <si>
    <t>Order-587</t>
  </si>
  <si>
    <t>Order-588</t>
  </si>
  <si>
    <t>Order-589</t>
  </si>
  <si>
    <t>Order-590</t>
  </si>
  <si>
    <t>Order-591</t>
  </si>
  <si>
    <t>Order-592</t>
  </si>
  <si>
    <t>Order-593</t>
  </si>
  <si>
    <t>Order-594</t>
  </si>
  <si>
    <t>Order-595</t>
  </si>
  <si>
    <t>Order-596</t>
  </si>
  <si>
    <t>Order-597</t>
  </si>
  <si>
    <t>Order-598</t>
  </si>
  <si>
    <t>Order-599</t>
  </si>
  <si>
    <t>Order-600</t>
  </si>
  <si>
    <t>Order-601</t>
  </si>
  <si>
    <t>Order-602</t>
  </si>
  <si>
    <t>Order-603</t>
  </si>
  <si>
    <t>Order-604</t>
  </si>
  <si>
    <t>Order-605</t>
  </si>
  <si>
    <t>Order-606</t>
  </si>
  <si>
    <t>Order-607</t>
  </si>
  <si>
    <t>Order-608</t>
  </si>
  <si>
    <t>Order-609</t>
  </si>
  <si>
    <t>Order-610</t>
  </si>
  <si>
    <t>Order-611</t>
  </si>
  <si>
    <t>Order-612</t>
  </si>
  <si>
    <t>Order-613</t>
  </si>
  <si>
    <t>Order-614</t>
  </si>
  <si>
    <t>Order-615</t>
  </si>
  <si>
    <t>Order-616</t>
  </si>
  <si>
    <t>Order-617</t>
  </si>
  <si>
    <t>Order-618</t>
  </si>
  <si>
    <t>Order-619</t>
  </si>
  <si>
    <t>Order-620</t>
  </si>
  <si>
    <t>Order-621</t>
  </si>
  <si>
    <t>Order-622</t>
  </si>
  <si>
    <t>Order-623</t>
  </si>
  <si>
    <t>Order-624</t>
  </si>
  <si>
    <t>Order-625</t>
  </si>
  <si>
    <t>Order-626</t>
  </si>
  <si>
    <t>Order-627</t>
  </si>
  <si>
    <t>Order-628</t>
  </si>
  <si>
    <t>Order-629</t>
  </si>
  <si>
    <t>Order-630</t>
  </si>
  <si>
    <t>Order-631</t>
  </si>
  <si>
    <t>Order-632</t>
  </si>
  <si>
    <t>Order-633</t>
  </si>
  <si>
    <t>Order-634</t>
  </si>
  <si>
    <t>Order-635</t>
  </si>
  <si>
    <t>Order-636</t>
  </si>
  <si>
    <t>Order-637</t>
  </si>
  <si>
    <t>Order-638</t>
  </si>
  <si>
    <t>Order-639</t>
  </si>
  <si>
    <t>Order-640</t>
  </si>
  <si>
    <t>Order-641</t>
  </si>
  <si>
    <t>Order-642</t>
  </si>
  <si>
    <t>Order-643</t>
  </si>
  <si>
    <t>Order-644</t>
  </si>
  <si>
    <t>Order-645</t>
  </si>
  <si>
    <t>Order-646</t>
  </si>
  <si>
    <t>Order-647</t>
  </si>
  <si>
    <t>Order-648</t>
  </si>
  <si>
    <t>Order-649</t>
  </si>
  <si>
    <t>Order-650</t>
  </si>
  <si>
    <t>Order-651</t>
  </si>
  <si>
    <t>Order-652</t>
  </si>
  <si>
    <t>Order-653</t>
  </si>
  <si>
    <t>Order-654</t>
  </si>
  <si>
    <t>Order-655</t>
  </si>
  <si>
    <t>Order-656</t>
  </si>
  <si>
    <t>Order-657</t>
  </si>
  <si>
    <t>Order-658</t>
  </si>
  <si>
    <t>Order-659</t>
  </si>
  <si>
    <t>Order-660</t>
  </si>
  <si>
    <t>Order-661</t>
  </si>
  <si>
    <t>Order-662</t>
  </si>
  <si>
    <t>Order-663</t>
  </si>
  <si>
    <t>Order-664</t>
  </si>
  <si>
    <t>Order-665</t>
  </si>
  <si>
    <t>Order-666</t>
  </si>
  <si>
    <t>Order-667</t>
  </si>
  <si>
    <t>Order-668</t>
  </si>
  <si>
    <t>Order-669</t>
  </si>
  <si>
    <t>Order-670</t>
  </si>
  <si>
    <t>Order-671</t>
  </si>
  <si>
    <t>Order-672</t>
  </si>
  <si>
    <t>Order-673</t>
  </si>
  <si>
    <t>Order-674</t>
  </si>
  <si>
    <t>Order-675</t>
  </si>
  <si>
    <t>Order-676</t>
  </si>
  <si>
    <t>Order-677</t>
  </si>
  <si>
    <t>Order-678</t>
  </si>
  <si>
    <t>Order-679</t>
  </si>
  <si>
    <t>Order-680</t>
  </si>
  <si>
    <t>Order-681</t>
  </si>
  <si>
    <t>Order-682</t>
  </si>
  <si>
    <t>Order-683</t>
  </si>
  <si>
    <t>Order-684</t>
  </si>
  <si>
    <t>Order-685</t>
  </si>
  <si>
    <t>Order-686</t>
  </si>
  <si>
    <t>Order-687</t>
  </si>
  <si>
    <t>Order-688</t>
  </si>
  <si>
    <t>Order-689</t>
  </si>
  <si>
    <t>Order-690</t>
  </si>
  <si>
    <t>Order-691</t>
  </si>
  <si>
    <t>Order-692</t>
  </si>
  <si>
    <t>Order-693</t>
  </si>
  <si>
    <t>Order-694</t>
  </si>
  <si>
    <t>Order-695</t>
  </si>
  <si>
    <t>Order-696</t>
  </si>
  <si>
    <t>Order-697</t>
  </si>
  <si>
    <t>Order-698</t>
  </si>
  <si>
    <t>Order-699</t>
  </si>
  <si>
    <t>Order-700</t>
  </si>
  <si>
    <t>Order-701</t>
  </si>
  <si>
    <t>Order-702</t>
  </si>
  <si>
    <t>Order-703</t>
  </si>
  <si>
    <t>Order-704</t>
  </si>
  <si>
    <t>Order-705</t>
  </si>
  <si>
    <t>Order-706</t>
  </si>
  <si>
    <t>Order-707</t>
  </si>
  <si>
    <t>Order-708</t>
  </si>
  <si>
    <t>Order-709</t>
  </si>
  <si>
    <t>Order-710</t>
  </si>
  <si>
    <t>Order-711</t>
  </si>
  <si>
    <t>Order-712</t>
  </si>
  <si>
    <t>Order-713</t>
  </si>
  <si>
    <t>Order-714</t>
  </si>
  <si>
    <t>Order-715</t>
  </si>
  <si>
    <t>Order-716</t>
  </si>
  <si>
    <t>Order-717</t>
  </si>
  <si>
    <t>Order-718</t>
  </si>
  <si>
    <t>Order-719</t>
  </si>
  <si>
    <t>Order-720</t>
  </si>
  <si>
    <t>Order-721</t>
  </si>
  <si>
    <t>Order-722</t>
  </si>
  <si>
    <t>Order-723</t>
  </si>
  <si>
    <t>Order-724</t>
  </si>
  <si>
    <t>Order-725</t>
  </si>
  <si>
    <t>Order-726</t>
  </si>
  <si>
    <t>Order-727</t>
  </si>
  <si>
    <t>Order-728</t>
  </si>
  <si>
    <t>Order-729</t>
  </si>
  <si>
    <t>Order-730</t>
  </si>
  <si>
    <t>Order-731</t>
  </si>
  <si>
    <t>Order-732</t>
  </si>
  <si>
    <t>Order-733</t>
  </si>
  <si>
    <t>Order-734</t>
  </si>
  <si>
    <t>Order-735</t>
  </si>
  <si>
    <t>Order-736</t>
  </si>
  <si>
    <t>Order-737</t>
  </si>
  <si>
    <t>Order-738</t>
  </si>
  <si>
    <t>Order-739</t>
  </si>
  <si>
    <t>Order-740</t>
  </si>
  <si>
    <t>Order-741</t>
  </si>
  <si>
    <t>Order-742</t>
  </si>
  <si>
    <t>Order-743</t>
  </si>
  <si>
    <t>Order-744</t>
  </si>
  <si>
    <t>Order-745</t>
  </si>
  <si>
    <t>Order-746</t>
  </si>
  <si>
    <t>Order-747</t>
  </si>
  <si>
    <t>Order-748</t>
  </si>
  <si>
    <t>Order-749</t>
  </si>
  <si>
    <t>Order-750</t>
  </si>
  <si>
    <t>Order-751</t>
  </si>
  <si>
    <t>Order-752</t>
  </si>
  <si>
    <t>Order-753</t>
  </si>
  <si>
    <t>Order-754</t>
  </si>
  <si>
    <t>Order-755</t>
  </si>
  <si>
    <t>Order-756</t>
  </si>
  <si>
    <t>Order-757</t>
  </si>
  <si>
    <t>Order-758</t>
  </si>
  <si>
    <t>Order-759</t>
  </si>
  <si>
    <t>Order-760</t>
  </si>
  <si>
    <t>Order-761</t>
  </si>
  <si>
    <t>Order-762</t>
  </si>
  <si>
    <t>Order-763</t>
  </si>
  <si>
    <t>Order-764</t>
  </si>
  <si>
    <t>Order-765</t>
  </si>
  <si>
    <t>Order-766</t>
  </si>
  <si>
    <t>Order-767</t>
  </si>
  <si>
    <t>Order-768</t>
  </si>
  <si>
    <t>Order-769</t>
  </si>
  <si>
    <t>Order-770</t>
  </si>
  <si>
    <t>Order-771</t>
  </si>
  <si>
    <t>Order-772</t>
  </si>
  <si>
    <t>Order-773</t>
  </si>
  <si>
    <t>Order-774</t>
  </si>
  <si>
    <t>Order-775</t>
  </si>
  <si>
    <t>Order-776</t>
  </si>
  <si>
    <t>Order-777</t>
  </si>
  <si>
    <t>Order-778</t>
  </si>
  <si>
    <t>Order-779</t>
  </si>
  <si>
    <t>Order-780</t>
  </si>
  <si>
    <t>Order-781</t>
  </si>
  <si>
    <t>Order-782</t>
  </si>
  <si>
    <t>Order-783</t>
  </si>
  <si>
    <t>Order-784</t>
  </si>
  <si>
    <t>Order-785</t>
  </si>
  <si>
    <t>Order-786</t>
  </si>
  <si>
    <t>Order-787</t>
  </si>
  <si>
    <t>Order-788</t>
  </si>
  <si>
    <t>Order-789</t>
  </si>
  <si>
    <t>Order-790</t>
  </si>
  <si>
    <t>Order-791</t>
  </si>
  <si>
    <t>Order-792</t>
  </si>
  <si>
    <t>Order-793</t>
  </si>
  <si>
    <t>Order-794</t>
  </si>
  <si>
    <t>Order-795</t>
  </si>
  <si>
    <t>Order-796</t>
  </si>
  <si>
    <t>Order-797</t>
  </si>
  <si>
    <t>Order-798</t>
  </si>
  <si>
    <t>Order-799</t>
  </si>
  <si>
    <t>Order-800</t>
  </si>
  <si>
    <t>Order-801</t>
  </si>
  <si>
    <t>Order-802</t>
  </si>
  <si>
    <t>Order-803</t>
  </si>
  <si>
    <t>Order-804</t>
  </si>
  <si>
    <t>Order-805</t>
  </si>
  <si>
    <t>Order-806</t>
  </si>
  <si>
    <t>Order-807</t>
  </si>
  <si>
    <t>Order-808</t>
  </si>
  <si>
    <t>Order-809</t>
  </si>
  <si>
    <t>Order-810</t>
  </si>
  <si>
    <t>Order-811</t>
  </si>
  <si>
    <t>Order-812</t>
  </si>
  <si>
    <t>Order-813</t>
  </si>
  <si>
    <t>Order-814</t>
  </si>
  <si>
    <t>Order-815</t>
  </si>
  <si>
    <t>Order-816</t>
  </si>
  <si>
    <t>Order-817</t>
  </si>
  <si>
    <t>Order-818</t>
  </si>
  <si>
    <t>Order-819</t>
  </si>
  <si>
    <t>Order-820</t>
  </si>
  <si>
    <t>Order-821</t>
  </si>
  <si>
    <t>Order-822</t>
  </si>
  <si>
    <t>Order-823</t>
  </si>
  <si>
    <t>Order-824</t>
  </si>
  <si>
    <t>Order-825</t>
  </si>
  <si>
    <t>Order-826</t>
  </si>
  <si>
    <t>Order-827</t>
  </si>
  <si>
    <t>Order-828</t>
  </si>
  <si>
    <t>Order-829</t>
  </si>
  <si>
    <t>Order-830</t>
  </si>
  <si>
    <t>Order-831</t>
  </si>
  <si>
    <t>Order-832</t>
  </si>
  <si>
    <t>Order-833</t>
  </si>
  <si>
    <t>Order-834</t>
  </si>
  <si>
    <t>Order-835</t>
  </si>
  <si>
    <t>Order-836</t>
  </si>
  <si>
    <t>Order-837</t>
  </si>
  <si>
    <t>Order-838</t>
  </si>
  <si>
    <t>Order-839</t>
  </si>
  <si>
    <t>Order-840</t>
  </si>
  <si>
    <t>Order-841</t>
  </si>
  <si>
    <t>Order-842</t>
  </si>
  <si>
    <t>Order-843</t>
  </si>
  <si>
    <t>Order-844</t>
  </si>
  <si>
    <t>Order-845</t>
  </si>
  <si>
    <t>Order-846</t>
  </si>
  <si>
    <t>Order-847</t>
  </si>
  <si>
    <t>Order-848</t>
  </si>
  <si>
    <t>Order-849</t>
  </si>
  <si>
    <t>Order-850</t>
  </si>
  <si>
    <t>Order-851</t>
  </si>
  <si>
    <t>Order-852</t>
  </si>
  <si>
    <t>Order-853</t>
  </si>
  <si>
    <t>Order-854</t>
  </si>
  <si>
    <t>Order-855</t>
  </si>
  <si>
    <t>Order-856</t>
  </si>
  <si>
    <t>Order-857</t>
  </si>
  <si>
    <t>Order-858</t>
  </si>
  <si>
    <t>Order-859</t>
  </si>
  <si>
    <t>Order-860</t>
  </si>
  <si>
    <t>Order-861</t>
  </si>
  <si>
    <t>Order-862</t>
  </si>
  <si>
    <t>Order-863</t>
  </si>
  <si>
    <t>Order-864</t>
  </si>
  <si>
    <t>Order-865</t>
  </si>
  <si>
    <t>Order-866</t>
  </si>
  <si>
    <t>Order-867</t>
  </si>
  <si>
    <t>Order-868</t>
  </si>
  <si>
    <t>Order-869</t>
  </si>
  <si>
    <t>Order-870</t>
  </si>
  <si>
    <t>Order-871</t>
  </si>
  <si>
    <t>Order-872</t>
  </si>
  <si>
    <t>Order-873</t>
  </si>
  <si>
    <t>Order-874</t>
  </si>
  <si>
    <t>Order-875</t>
  </si>
  <si>
    <t>Order-876</t>
  </si>
  <si>
    <t>Order-877</t>
  </si>
  <si>
    <t>Order-878</t>
  </si>
  <si>
    <t>Order-879</t>
  </si>
  <si>
    <t>Order-880</t>
  </si>
  <si>
    <t>Order-881</t>
  </si>
  <si>
    <t>Order-882</t>
  </si>
  <si>
    <t>Order-883</t>
  </si>
  <si>
    <t>Order-884</t>
  </si>
  <si>
    <t>Order-885</t>
  </si>
  <si>
    <t>Order-886</t>
  </si>
  <si>
    <t>Order-887</t>
  </si>
  <si>
    <t>Order-888</t>
  </si>
  <si>
    <t>Order-889</t>
  </si>
  <si>
    <t>Order-890</t>
  </si>
  <si>
    <t>Order-891</t>
  </si>
  <si>
    <t>Order-892</t>
  </si>
  <si>
    <t>Order-893</t>
  </si>
  <si>
    <t>Order-894</t>
  </si>
  <si>
    <t>Order-895</t>
  </si>
  <si>
    <t>Order-896</t>
  </si>
  <si>
    <t>Order-897</t>
  </si>
  <si>
    <t>Order-898</t>
  </si>
  <si>
    <t>Order-899</t>
  </si>
  <si>
    <t>Order-900</t>
  </si>
  <si>
    <t>Order-901</t>
  </si>
  <si>
    <t>Order-902</t>
  </si>
  <si>
    <t>Order-903</t>
  </si>
  <si>
    <t>Order-904</t>
  </si>
  <si>
    <t>Order-905</t>
  </si>
  <si>
    <t>Order-906</t>
  </si>
  <si>
    <t>Order-907</t>
  </si>
  <si>
    <t>Order-908</t>
  </si>
  <si>
    <t>Order-909</t>
  </si>
  <si>
    <t>Order-910</t>
  </si>
  <si>
    <t>Order-911</t>
  </si>
  <si>
    <t>Order-912</t>
  </si>
  <si>
    <t>Order-913</t>
  </si>
  <si>
    <t>Order-914</t>
  </si>
  <si>
    <t>Order-915</t>
  </si>
  <si>
    <t>Order-916</t>
  </si>
  <si>
    <t>Order-917</t>
  </si>
  <si>
    <t>Order-918</t>
  </si>
  <si>
    <t>Order-919</t>
  </si>
  <si>
    <t>Order-920</t>
  </si>
  <si>
    <t>Order-921</t>
  </si>
  <si>
    <t>Order-922</t>
  </si>
  <si>
    <t>Order-923</t>
  </si>
  <si>
    <t>Order-924</t>
  </si>
  <si>
    <t>Order-925</t>
  </si>
  <si>
    <t>Order-926</t>
  </si>
  <si>
    <t>Order-927</t>
  </si>
  <si>
    <t>Order-928</t>
  </si>
  <si>
    <t>Order-929</t>
  </si>
  <si>
    <t>Order-930</t>
  </si>
  <si>
    <t>Order-931</t>
  </si>
  <si>
    <t>Order-932</t>
  </si>
  <si>
    <t>Order-933</t>
  </si>
  <si>
    <t>Order-934</t>
  </si>
  <si>
    <t>Order-935</t>
  </si>
  <si>
    <t>Order-936</t>
  </si>
  <si>
    <t>Order-937</t>
  </si>
  <si>
    <t>Order-938</t>
  </si>
  <si>
    <t>Order-939</t>
  </si>
  <si>
    <t>Order-940</t>
  </si>
  <si>
    <t>Order-941</t>
  </si>
  <si>
    <t>Order-942</t>
  </si>
  <si>
    <t>Order-943</t>
  </si>
  <si>
    <t>Order-944</t>
  </si>
  <si>
    <t>Order-945</t>
  </si>
  <si>
    <t>Order-946</t>
  </si>
  <si>
    <t>Order-947</t>
  </si>
  <si>
    <t>Order-948</t>
  </si>
  <si>
    <t>Order-949</t>
  </si>
  <si>
    <t>Order-950</t>
  </si>
  <si>
    <t>Order-951</t>
  </si>
  <si>
    <t>Order-952</t>
  </si>
  <si>
    <t>Order-953</t>
  </si>
  <si>
    <t>Order-954</t>
  </si>
  <si>
    <t>Order-955</t>
  </si>
  <si>
    <t>Order-956</t>
  </si>
  <si>
    <t>Order-957</t>
  </si>
  <si>
    <t>Order-958</t>
  </si>
  <si>
    <t>Order-959</t>
  </si>
  <si>
    <t>Order-960</t>
  </si>
  <si>
    <t>Order-961</t>
  </si>
  <si>
    <t>Order-962</t>
  </si>
  <si>
    <t>Order-963</t>
  </si>
  <si>
    <t>Order-964</t>
  </si>
  <si>
    <t>Order-965</t>
  </si>
  <si>
    <t>Order-966</t>
  </si>
  <si>
    <t>Order-967</t>
  </si>
  <si>
    <t>Order-968</t>
  </si>
  <si>
    <t>Order-969</t>
  </si>
  <si>
    <t>Order-970</t>
  </si>
  <si>
    <t>Order-971</t>
  </si>
  <si>
    <t>Order-972</t>
  </si>
  <si>
    <t>Order-973</t>
  </si>
  <si>
    <t>Order-974</t>
  </si>
  <si>
    <t>Order-975</t>
  </si>
  <si>
    <t>Order-976</t>
  </si>
  <si>
    <t>Order-977</t>
  </si>
  <si>
    <t>Order-978</t>
  </si>
  <si>
    <t>Order-979</t>
  </si>
  <si>
    <t>Order-980</t>
  </si>
  <si>
    <t>Order-981</t>
  </si>
  <si>
    <t>Order-982</t>
  </si>
  <si>
    <t>Order-983</t>
  </si>
  <si>
    <t>Order-984</t>
  </si>
  <si>
    <t>Order-985</t>
  </si>
  <si>
    <t>Order-986</t>
  </si>
  <si>
    <t>Order-987</t>
  </si>
  <si>
    <t>Order-988</t>
  </si>
  <si>
    <t>Order-989</t>
  </si>
  <si>
    <t>Order-990</t>
  </si>
  <si>
    <t>Order-991</t>
  </si>
  <si>
    <t>Order-992</t>
  </si>
  <si>
    <t>Order-993</t>
  </si>
  <si>
    <t>Order-994</t>
  </si>
  <si>
    <t>Order-995</t>
  </si>
  <si>
    <t>Order-996</t>
  </si>
  <si>
    <t>Order-997</t>
  </si>
  <si>
    <t>Order-998</t>
  </si>
  <si>
    <t>Order-999</t>
  </si>
  <si>
    <t>Order-1000</t>
  </si>
  <si>
    <t>Order-1001</t>
  </si>
  <si>
    <t>Order-1002</t>
  </si>
  <si>
    <t>Order-1003</t>
  </si>
  <si>
    <t>Order-1004</t>
  </si>
  <si>
    <t>Order-1005</t>
  </si>
  <si>
    <t>Order-1006</t>
  </si>
  <si>
    <t>Order-1007</t>
  </si>
  <si>
    <t>Order-1008</t>
  </si>
  <si>
    <t>Order-1009</t>
  </si>
  <si>
    <t>Order-1010</t>
  </si>
  <si>
    <t>Order-1011</t>
  </si>
  <si>
    <t>Order-1012</t>
  </si>
  <si>
    <t>Order-1013</t>
  </si>
  <si>
    <t>Order-1014</t>
  </si>
  <si>
    <t>Order-1015</t>
  </si>
  <si>
    <t>Order-1016</t>
  </si>
  <si>
    <t>Order-1017</t>
  </si>
  <si>
    <t>Order-1018</t>
  </si>
  <si>
    <t>Order-1019</t>
  </si>
  <si>
    <t>Order-1020</t>
  </si>
  <si>
    <t>Order-1021</t>
  </si>
  <si>
    <t>Order-1022</t>
  </si>
  <si>
    <t>Order-1023</t>
  </si>
  <si>
    <t>Order-1024</t>
  </si>
  <si>
    <t>Order-1025</t>
  </si>
  <si>
    <t>Order-1026</t>
  </si>
  <si>
    <t>Order-1027</t>
  </si>
  <si>
    <t>Order-1028</t>
  </si>
  <si>
    <t>Order-1029</t>
  </si>
  <si>
    <t>Order-1030</t>
  </si>
  <si>
    <t>Order-1031</t>
  </si>
  <si>
    <t>Order-1032</t>
  </si>
  <si>
    <t>Order-1033</t>
  </si>
  <si>
    <t>Order-1034</t>
  </si>
  <si>
    <t>Order-1035</t>
  </si>
  <si>
    <t>Order-1036</t>
  </si>
  <si>
    <t>Order-1037</t>
  </si>
  <si>
    <t>Order-1038</t>
  </si>
  <si>
    <t>Order-1039</t>
  </si>
  <si>
    <t>Order-1040</t>
  </si>
  <si>
    <t>Order-1041</t>
  </si>
  <si>
    <t>Order-1042</t>
  </si>
  <si>
    <t>Order-1043</t>
  </si>
  <si>
    <t>Order-1044</t>
  </si>
  <si>
    <t>Order-1045</t>
  </si>
  <si>
    <t>Order-1046</t>
  </si>
  <si>
    <t>Order-1047</t>
  </si>
  <si>
    <t>Order-1048</t>
  </si>
  <si>
    <t>Order-1049</t>
  </si>
  <si>
    <t>Order-1050</t>
  </si>
  <si>
    <t>Order-1051</t>
  </si>
  <si>
    <t>Order-1052</t>
  </si>
  <si>
    <t>Order-1053</t>
  </si>
  <si>
    <t>Order-1054</t>
  </si>
  <si>
    <t>Order-1055</t>
  </si>
  <si>
    <t>Order-1056</t>
  </si>
  <si>
    <t>Order-1057</t>
  </si>
  <si>
    <t>Order-1058</t>
  </si>
  <si>
    <t>Order-1059</t>
  </si>
  <si>
    <t>Order-1060</t>
  </si>
  <si>
    <t>Order-1061</t>
  </si>
  <si>
    <t>Order-1062</t>
  </si>
  <si>
    <t>Order-1063</t>
  </si>
  <si>
    <t>Order-1064</t>
  </si>
  <si>
    <t>Order-1065</t>
  </si>
  <si>
    <t>Order-1066</t>
  </si>
  <si>
    <t>Order-1067</t>
  </si>
  <si>
    <t>Order-1068</t>
  </si>
  <si>
    <t>Order-1069</t>
  </si>
  <si>
    <t>Order-1070</t>
  </si>
  <si>
    <t>Order-1071</t>
  </si>
  <si>
    <t>Order-1072</t>
  </si>
  <si>
    <t>Order-1073</t>
  </si>
  <si>
    <t>Order-1074</t>
  </si>
  <si>
    <t>Order-1075</t>
  </si>
  <si>
    <t>Order-1076</t>
  </si>
  <si>
    <t>Order-1077</t>
  </si>
  <si>
    <t>Order-1078</t>
  </si>
  <si>
    <t>Order-1079</t>
  </si>
  <si>
    <t>Order-1080</t>
  </si>
  <si>
    <t>Order-1081</t>
  </si>
  <si>
    <t>Order-1082</t>
  </si>
  <si>
    <t>Order-1083</t>
  </si>
  <si>
    <t>Order-1084</t>
  </si>
  <si>
    <t>Order-1085</t>
  </si>
  <si>
    <t>Order-1086</t>
  </si>
  <si>
    <t>Order-1087</t>
  </si>
  <si>
    <t>Order-1088</t>
  </si>
  <si>
    <t>Order-1089</t>
  </si>
  <si>
    <t>Order-1090</t>
  </si>
  <si>
    <t>Order-1091</t>
  </si>
  <si>
    <t>Order-1092</t>
  </si>
  <si>
    <t>Order-1093</t>
  </si>
  <si>
    <t>Order-1094</t>
  </si>
  <si>
    <t>Order-1095</t>
  </si>
  <si>
    <t>Order-1096</t>
  </si>
  <si>
    <t>Order-1097</t>
  </si>
  <si>
    <t>Order-1098</t>
  </si>
  <si>
    <t>Order-1099</t>
  </si>
  <si>
    <t>Order-1100</t>
  </si>
  <si>
    <t>Order-1101</t>
  </si>
  <si>
    <t>Order-1102</t>
  </si>
  <si>
    <t>Order-1103</t>
  </si>
  <si>
    <t>Order-1104</t>
  </si>
  <si>
    <t>Order-1105</t>
  </si>
  <si>
    <t>Order-1106</t>
  </si>
  <si>
    <t>Order-1107</t>
  </si>
  <si>
    <t>Order-1108</t>
  </si>
  <si>
    <t>Order-1109</t>
  </si>
  <si>
    <t>Order-1110</t>
  </si>
  <si>
    <t>Order-1111</t>
  </si>
  <si>
    <t>Order-1112</t>
  </si>
  <si>
    <t>Order-1113</t>
  </si>
  <si>
    <t>Order-1114</t>
  </si>
  <si>
    <t>Order-1115</t>
  </si>
  <si>
    <t>Order-1116</t>
  </si>
  <si>
    <t>Order-1117</t>
  </si>
  <si>
    <t>Order-1118</t>
  </si>
  <si>
    <t>Order-1119</t>
  </si>
  <si>
    <t>Order-1120</t>
  </si>
  <si>
    <t>Order-1121</t>
  </si>
  <si>
    <t>Order-1122</t>
  </si>
  <si>
    <t>Order-1123</t>
  </si>
  <si>
    <t>Order-1124</t>
  </si>
  <si>
    <t>Order-1125</t>
  </si>
  <si>
    <t>Order-1126</t>
  </si>
  <si>
    <t>Order-1127</t>
  </si>
  <si>
    <t>Order-1128</t>
  </si>
  <si>
    <t>Order-1129</t>
  </si>
  <si>
    <t>Order-1130</t>
  </si>
  <si>
    <t>Order-1131</t>
  </si>
  <si>
    <t>Order-1132</t>
  </si>
  <si>
    <t>Order-1133</t>
  </si>
  <si>
    <t>Order-1134</t>
  </si>
  <si>
    <t>Order-1135</t>
  </si>
  <si>
    <t>Order-1136</t>
  </si>
  <si>
    <t>Order-1137</t>
  </si>
  <si>
    <t>Order-1138</t>
  </si>
  <si>
    <t>Order-1139</t>
  </si>
  <si>
    <t>Order-1140</t>
  </si>
  <si>
    <t>Order-1141</t>
  </si>
  <si>
    <t>Order-1142</t>
  </si>
  <si>
    <t>Order-1143</t>
  </si>
  <si>
    <t>Order-1144</t>
  </si>
  <si>
    <t>Order-1145</t>
  </si>
  <si>
    <t>Order-1146</t>
  </si>
  <si>
    <t>Order-1147</t>
  </si>
  <si>
    <t>Order-1148</t>
  </si>
  <si>
    <t>Order-1149</t>
  </si>
  <si>
    <t>Order-1150</t>
  </si>
  <si>
    <t>Order-1151</t>
  </si>
  <si>
    <t>Order-1152</t>
  </si>
  <si>
    <t>Order-1153</t>
  </si>
  <si>
    <t>Order-1154</t>
  </si>
  <si>
    <t>Order-1155</t>
  </si>
  <si>
    <t>Order-1156</t>
  </si>
  <si>
    <t>Order-1157</t>
  </si>
  <si>
    <t>Order-1158</t>
  </si>
  <si>
    <t>Order-1159</t>
  </si>
  <si>
    <t>Order-1160</t>
  </si>
  <si>
    <t>Order-1161</t>
  </si>
  <si>
    <t>Order-1162</t>
  </si>
  <si>
    <t>Order-1163</t>
  </si>
  <si>
    <t>Order-1164</t>
  </si>
  <si>
    <t>Order-1165</t>
  </si>
  <si>
    <t>Order-1166</t>
  </si>
  <si>
    <t>Order-1167</t>
  </si>
  <si>
    <t>Order-1168</t>
  </si>
  <si>
    <t>Order-1169</t>
  </si>
  <si>
    <t>Order-1170</t>
  </si>
  <si>
    <t>Order-1171</t>
  </si>
  <si>
    <t>Order-1172</t>
  </si>
  <si>
    <t>Order-1173</t>
  </si>
  <si>
    <t>Order-1174</t>
  </si>
  <si>
    <t>Order-1175</t>
  </si>
  <si>
    <t>Order-1176</t>
  </si>
  <si>
    <t>Order-1177</t>
  </si>
  <si>
    <t>Order-1178</t>
  </si>
  <si>
    <t>Order-1179</t>
  </si>
  <si>
    <t>Order-1180</t>
  </si>
  <si>
    <t>Order-1181</t>
  </si>
  <si>
    <t>Order-1182</t>
  </si>
  <si>
    <t>Order-1183</t>
  </si>
  <si>
    <t>Order-1184</t>
  </si>
  <si>
    <t>Order-1185</t>
  </si>
  <si>
    <t>Order-1186</t>
  </si>
  <si>
    <t>Order-1187</t>
  </si>
  <si>
    <t>Order-1188</t>
  </si>
  <si>
    <t>Order-1189</t>
  </si>
  <si>
    <t>Order-1190</t>
  </si>
  <si>
    <t>Order-1191</t>
  </si>
  <si>
    <t>Order-1192</t>
  </si>
  <si>
    <t>Order-1193</t>
  </si>
  <si>
    <t>Order-1194</t>
  </si>
  <si>
    <t>Order-1195</t>
  </si>
  <si>
    <t>Order-1196</t>
  </si>
  <si>
    <t>Order-1197</t>
  </si>
  <si>
    <t>Order-1198</t>
  </si>
  <si>
    <t>Order-1199</t>
  </si>
  <si>
    <t>Order-1200</t>
  </si>
  <si>
    <t>Order-1201</t>
  </si>
  <si>
    <t>Order-1202</t>
  </si>
  <si>
    <t>Order-1203</t>
  </si>
  <si>
    <t>Order-1204</t>
  </si>
  <si>
    <t>Order-1205</t>
  </si>
  <si>
    <t>Order-1206</t>
  </si>
  <si>
    <t>Order-1207</t>
  </si>
  <si>
    <t>Order-1208</t>
  </si>
  <si>
    <t>Order-1209</t>
  </si>
  <si>
    <t>Order-1210</t>
  </si>
  <si>
    <t>Order-1211</t>
  </si>
  <si>
    <t>Order-1212</t>
  </si>
  <si>
    <t>Order-1213</t>
  </si>
  <si>
    <t>Order-1214</t>
  </si>
  <si>
    <t>Order-1215</t>
  </si>
  <si>
    <t>Order-1216</t>
  </si>
  <si>
    <t>Order-1217</t>
  </si>
  <si>
    <t>Order-1218</t>
  </si>
  <si>
    <t>Order-1219</t>
  </si>
  <si>
    <t>Order-1220</t>
  </si>
  <si>
    <t>Order-1221</t>
  </si>
  <si>
    <t>Order-1222</t>
  </si>
  <si>
    <t>Order-1223</t>
  </si>
  <si>
    <t>Order-1224</t>
  </si>
  <si>
    <t>Order-1225</t>
  </si>
  <si>
    <t>Order-1226</t>
  </si>
  <si>
    <t>Order-1227</t>
  </si>
  <si>
    <t>Order-1228</t>
  </si>
  <si>
    <t>Order-1229</t>
  </si>
  <si>
    <t>Order-1230</t>
  </si>
  <si>
    <t>Order-1231</t>
  </si>
  <si>
    <t>Order-1232</t>
  </si>
  <si>
    <t>Order-1233</t>
  </si>
  <si>
    <t>Order-1234</t>
  </si>
  <si>
    <t>Order-1235</t>
  </si>
  <si>
    <t>Order-1236</t>
  </si>
  <si>
    <t>Order-1237</t>
  </si>
  <si>
    <t>Order-1238</t>
  </si>
  <si>
    <t>Order-1239</t>
  </si>
  <si>
    <t>Order-1240</t>
  </si>
  <si>
    <t>Order-1241</t>
  </si>
  <si>
    <t>Order-1242</t>
  </si>
  <si>
    <t>Order-1243</t>
  </si>
  <si>
    <t>Order-1244</t>
  </si>
  <si>
    <t>Order-1245</t>
  </si>
  <si>
    <t>Order-1246</t>
  </si>
  <si>
    <t>Order-1247</t>
  </si>
  <si>
    <t>Order-1248</t>
  </si>
  <si>
    <t>Order-1249</t>
  </si>
  <si>
    <t>Order-1250</t>
  </si>
  <si>
    <t>Order-1251</t>
  </si>
  <si>
    <t>Order-1252</t>
  </si>
  <si>
    <t>Order-1253</t>
  </si>
  <si>
    <t>Order-1254</t>
  </si>
  <si>
    <t>Order-1255</t>
  </si>
  <si>
    <t>Order-1256</t>
  </si>
  <si>
    <t>Order-1257</t>
  </si>
  <si>
    <t>Order-1258</t>
  </si>
  <si>
    <t>Order-1259</t>
  </si>
  <si>
    <t>Order-1260</t>
  </si>
  <si>
    <t>Order-1261</t>
  </si>
  <si>
    <t>Order-1262</t>
  </si>
  <si>
    <t>Order-1263</t>
  </si>
  <si>
    <t>Order-1264</t>
  </si>
  <si>
    <t>Order-1265</t>
  </si>
  <si>
    <t>Order-1266</t>
  </si>
  <si>
    <t>Order-1267</t>
  </si>
  <si>
    <t>Order-1268</t>
  </si>
  <si>
    <t>Order-1269</t>
  </si>
  <si>
    <t>Order-1270</t>
  </si>
  <si>
    <t>Order-1271</t>
  </si>
  <si>
    <t>Order-1272</t>
  </si>
  <si>
    <t>Order-1273</t>
  </si>
  <si>
    <t>Order-1274</t>
  </si>
  <si>
    <t>Order-1275</t>
  </si>
  <si>
    <t>Order-1276</t>
  </si>
  <si>
    <t>Order-1277</t>
  </si>
  <si>
    <t>Order-1278</t>
  </si>
  <si>
    <t>Order-1279</t>
  </si>
  <si>
    <t>Order-1280</t>
  </si>
  <si>
    <t>Order-1281</t>
  </si>
  <si>
    <t>Order-1282</t>
  </si>
  <si>
    <t>Order-1283</t>
  </si>
  <si>
    <t>Order-1284</t>
  </si>
  <si>
    <t>Order-1285</t>
  </si>
  <si>
    <t>Order-1286</t>
  </si>
  <si>
    <t>Order-1287</t>
  </si>
  <si>
    <t>Order-1288</t>
  </si>
  <si>
    <t>Order-1289</t>
  </si>
  <si>
    <t>Order-1290</t>
  </si>
  <si>
    <t>Order-1291</t>
  </si>
  <si>
    <t>Order-1292</t>
  </si>
  <si>
    <t>Order-1293</t>
  </si>
  <si>
    <t>Order-1294</t>
  </si>
  <si>
    <t>Order-1295</t>
  </si>
  <si>
    <t>Order-1296</t>
  </si>
  <si>
    <t>Order-1297</t>
  </si>
  <si>
    <t>Order-1298</t>
  </si>
  <si>
    <t>Order-1299</t>
  </si>
  <si>
    <t>Order-1300</t>
  </si>
  <si>
    <t>Row Labels</t>
  </si>
  <si>
    <t>Grand Total</t>
  </si>
  <si>
    <t>Count of Order No</t>
  </si>
  <si>
    <t>Sum of Total Price</t>
  </si>
  <si>
    <t>Sum of Total Value (With Commisio)</t>
  </si>
  <si>
    <t>Total States</t>
  </si>
  <si>
    <t>Sales Report</t>
  </si>
  <si>
    <t>Sum of Quantity</t>
  </si>
  <si>
    <t>Sum of Commission</t>
  </si>
  <si>
    <t>Count of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</si>
</sst>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4" tint="0.59999389629810485"/>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4" fontId="0" fillId="0" borderId="0" xfId="0" applyNumberFormat="1" applyAlignment="1">
      <alignment horizontal="left"/>
    </xf>
    <xf numFmtId="0" fontId="0" fillId="3" borderId="0" xfId="0" applyFill="1"/>
    <xf numFmtId="0" fontId="1" fillId="2" borderId="0" xfId="0" applyFont="1" applyFill="1" applyAlignment="1">
      <alignment horizontal="center"/>
    </xf>
    <xf numFmtId="0" fontId="0" fillId="2" borderId="0" xfId="0" applyFill="1" applyAlignment="1">
      <alignment horizontal="center"/>
    </xf>
    <xf numFmtId="0" fontId="0" fillId="4" borderId="0" xfId="0" applyFill="1" applyAlignment="1">
      <alignment horizontal="center"/>
    </xf>
    <xf numFmtId="0" fontId="2"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5">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Sales.xlsx]Sheet2!PivotTable2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1F-4E72-ADCF-A20AFD4C3D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1F-4E72-ADCF-A20AFD4C3D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B1F-4E72-ADCF-A20AFD4C3DA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B1F-4E72-ADCF-A20AFD4C3DA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B1F-4E72-ADCF-A20AFD4C3DA9}"/>
              </c:ext>
            </c:extLst>
          </c:dPt>
          <c:cat>
            <c:strRef>
              <c:f>Sheet2!$A$7:$A$12</c:f>
              <c:strCache>
                <c:ptCount val="5"/>
                <c:pt idx="0">
                  <c:v>Diary</c:v>
                </c:pt>
                <c:pt idx="1">
                  <c:v>Office Chair</c:v>
                </c:pt>
                <c:pt idx="2">
                  <c:v>Printer</c:v>
                </c:pt>
                <c:pt idx="3">
                  <c:v>Projector</c:v>
                </c:pt>
                <c:pt idx="4">
                  <c:v>White Board</c:v>
                </c:pt>
              </c:strCache>
            </c:strRef>
          </c:cat>
          <c:val>
            <c:numRef>
              <c:f>Sheet2!$B$7:$B$12</c:f>
              <c:numCache>
                <c:formatCode>General</c:formatCode>
                <c:ptCount val="5"/>
                <c:pt idx="0">
                  <c:v>235</c:v>
                </c:pt>
                <c:pt idx="1">
                  <c:v>231</c:v>
                </c:pt>
                <c:pt idx="2">
                  <c:v>296</c:v>
                </c:pt>
                <c:pt idx="3">
                  <c:v>226</c:v>
                </c:pt>
                <c:pt idx="4">
                  <c:v>312</c:v>
                </c:pt>
              </c:numCache>
            </c:numRef>
          </c:val>
          <c:extLst>
            <c:ext xmlns:c16="http://schemas.microsoft.com/office/drawing/2014/chart" uri="{C3380CC4-5D6E-409C-BE32-E72D297353CC}">
              <c16:uniqueId val="{00000000-3D90-497E-8DDD-4A08FEEF88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Sales.xlsx]Sheet2!PivotTable8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Sheet2!$B$31</c:f>
              <c:strCache>
                <c:ptCount val="1"/>
                <c:pt idx="0">
                  <c:v>Total</c:v>
                </c:pt>
              </c:strCache>
            </c:strRef>
          </c:tx>
          <c:spPr>
            <a:ln w="28575" cap="rnd">
              <a:solidFill>
                <a:schemeClr val="accent2"/>
              </a:solidFill>
              <a:round/>
            </a:ln>
            <a:effectLst/>
          </c:spPr>
          <c:marker>
            <c:symbol val="none"/>
          </c:marker>
          <c:cat>
            <c:strRef>
              <c:f>Sheet2!$A$32:$A$63</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Sheet2!$B$32:$B$63</c:f>
              <c:numCache>
                <c:formatCode>General</c:formatCode>
                <c:ptCount val="31"/>
                <c:pt idx="0">
                  <c:v>497</c:v>
                </c:pt>
                <c:pt idx="1">
                  <c:v>464</c:v>
                </c:pt>
                <c:pt idx="2">
                  <c:v>428</c:v>
                </c:pt>
                <c:pt idx="3">
                  <c:v>429</c:v>
                </c:pt>
                <c:pt idx="4">
                  <c:v>636</c:v>
                </c:pt>
                <c:pt idx="5">
                  <c:v>671</c:v>
                </c:pt>
                <c:pt idx="6">
                  <c:v>705</c:v>
                </c:pt>
                <c:pt idx="7">
                  <c:v>626</c:v>
                </c:pt>
                <c:pt idx="8">
                  <c:v>490</c:v>
                </c:pt>
                <c:pt idx="9">
                  <c:v>681</c:v>
                </c:pt>
                <c:pt idx="10">
                  <c:v>551</c:v>
                </c:pt>
                <c:pt idx="11">
                  <c:v>340</c:v>
                </c:pt>
                <c:pt idx="12">
                  <c:v>560</c:v>
                </c:pt>
                <c:pt idx="13">
                  <c:v>616</c:v>
                </c:pt>
                <c:pt idx="14">
                  <c:v>510</c:v>
                </c:pt>
                <c:pt idx="15">
                  <c:v>670</c:v>
                </c:pt>
                <c:pt idx="16">
                  <c:v>577</c:v>
                </c:pt>
                <c:pt idx="17">
                  <c:v>487</c:v>
                </c:pt>
                <c:pt idx="18">
                  <c:v>638</c:v>
                </c:pt>
                <c:pt idx="19">
                  <c:v>405</c:v>
                </c:pt>
                <c:pt idx="20">
                  <c:v>541</c:v>
                </c:pt>
                <c:pt idx="21">
                  <c:v>474</c:v>
                </c:pt>
                <c:pt idx="22">
                  <c:v>513</c:v>
                </c:pt>
                <c:pt idx="23">
                  <c:v>635</c:v>
                </c:pt>
                <c:pt idx="24">
                  <c:v>662</c:v>
                </c:pt>
                <c:pt idx="25">
                  <c:v>603</c:v>
                </c:pt>
                <c:pt idx="26">
                  <c:v>689</c:v>
                </c:pt>
                <c:pt idx="27">
                  <c:v>423</c:v>
                </c:pt>
                <c:pt idx="28">
                  <c:v>506</c:v>
                </c:pt>
                <c:pt idx="29">
                  <c:v>349</c:v>
                </c:pt>
                <c:pt idx="30">
                  <c:v>256</c:v>
                </c:pt>
              </c:numCache>
            </c:numRef>
          </c:val>
          <c:smooth val="0"/>
          <c:extLst>
            <c:ext xmlns:c16="http://schemas.microsoft.com/office/drawing/2014/chart" uri="{C3380CC4-5D6E-409C-BE32-E72D297353CC}">
              <c16:uniqueId val="{00000000-253D-475B-987A-3D90F2054169}"/>
            </c:ext>
          </c:extLst>
        </c:ser>
        <c:dLbls>
          <c:showLegendKey val="0"/>
          <c:showVal val="0"/>
          <c:showCatName val="0"/>
          <c:showSerName val="0"/>
          <c:showPercent val="0"/>
          <c:showBubbleSize val="0"/>
        </c:dLbls>
        <c:smooth val="0"/>
        <c:axId val="1191738400"/>
        <c:axId val="1191738880"/>
      </c:lineChart>
      <c:catAx>
        <c:axId val="119173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38880"/>
        <c:crosses val="autoZero"/>
        <c:auto val="1"/>
        <c:lblAlgn val="ctr"/>
        <c:lblOffset val="100"/>
        <c:noMultiLvlLbl val="0"/>
      </c:catAx>
      <c:valAx>
        <c:axId val="119173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3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Sales.xlsx]Sheet2!PivotTable3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Sheet2!$A$15:$A$20</c:f>
              <c:strCache>
                <c:ptCount val="5"/>
                <c:pt idx="0">
                  <c:v>Bob</c:v>
                </c:pt>
                <c:pt idx="1">
                  <c:v>John</c:v>
                </c:pt>
                <c:pt idx="2">
                  <c:v>Laura</c:v>
                </c:pt>
                <c:pt idx="3">
                  <c:v>Mark</c:v>
                </c:pt>
                <c:pt idx="4">
                  <c:v>Stacey</c:v>
                </c:pt>
              </c:strCache>
            </c:strRef>
          </c:cat>
          <c:val>
            <c:numRef>
              <c:f>Sheet2!$B$15:$B$20</c:f>
              <c:numCache>
                <c:formatCode>General</c:formatCode>
                <c:ptCount val="5"/>
                <c:pt idx="0">
                  <c:v>17.429999999999986</c:v>
                </c:pt>
                <c:pt idx="1">
                  <c:v>17.179999999999968</c:v>
                </c:pt>
                <c:pt idx="2">
                  <c:v>14.379999999999969</c:v>
                </c:pt>
                <c:pt idx="3">
                  <c:v>14.869999999999965</c:v>
                </c:pt>
                <c:pt idx="4">
                  <c:v>15.979999999999979</c:v>
                </c:pt>
              </c:numCache>
            </c:numRef>
          </c:val>
          <c:extLst>
            <c:ext xmlns:c16="http://schemas.microsoft.com/office/drawing/2014/chart" uri="{C3380CC4-5D6E-409C-BE32-E72D297353CC}">
              <c16:uniqueId val="{00000000-FB9D-4686-B123-FD06E8A34BB2}"/>
            </c:ext>
          </c:extLst>
        </c:ser>
        <c:dLbls>
          <c:showLegendKey val="0"/>
          <c:showVal val="0"/>
          <c:showCatName val="0"/>
          <c:showSerName val="0"/>
          <c:showPercent val="0"/>
          <c:showBubbleSize val="0"/>
        </c:dLbls>
        <c:gapWidth val="115"/>
        <c:overlap val="-20"/>
        <c:axId val="1368957136"/>
        <c:axId val="1368957616"/>
      </c:barChart>
      <c:catAx>
        <c:axId val="13689571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8957616"/>
        <c:crosses val="autoZero"/>
        <c:auto val="1"/>
        <c:lblAlgn val="ctr"/>
        <c:lblOffset val="100"/>
        <c:noMultiLvlLbl val="0"/>
      </c:catAx>
      <c:valAx>
        <c:axId val="13689576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895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Sales.xlsx]Sheet2!PivotTable9</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Sheet2!$B$66</c:f>
              <c:strCache>
                <c:ptCount val="1"/>
                <c:pt idx="0">
                  <c:v>Count of Item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Sheet2!$A$67:$A$72</c:f>
              <c:strCache>
                <c:ptCount val="5"/>
                <c:pt idx="0">
                  <c:v>Bob</c:v>
                </c:pt>
                <c:pt idx="1">
                  <c:v>John</c:v>
                </c:pt>
                <c:pt idx="2">
                  <c:v>Laura</c:v>
                </c:pt>
                <c:pt idx="3">
                  <c:v>Mark</c:v>
                </c:pt>
                <c:pt idx="4">
                  <c:v>Stacey</c:v>
                </c:pt>
              </c:strCache>
            </c:strRef>
          </c:cat>
          <c:val>
            <c:numRef>
              <c:f>Sheet2!$B$67:$B$72</c:f>
              <c:numCache>
                <c:formatCode>General</c:formatCode>
                <c:ptCount val="5"/>
                <c:pt idx="0">
                  <c:v>257</c:v>
                </c:pt>
                <c:pt idx="1">
                  <c:v>277</c:v>
                </c:pt>
                <c:pt idx="2">
                  <c:v>257</c:v>
                </c:pt>
                <c:pt idx="3">
                  <c:v>240</c:v>
                </c:pt>
                <c:pt idx="4">
                  <c:v>269</c:v>
                </c:pt>
              </c:numCache>
            </c:numRef>
          </c:val>
          <c:extLst>
            <c:ext xmlns:c16="http://schemas.microsoft.com/office/drawing/2014/chart" uri="{C3380CC4-5D6E-409C-BE32-E72D297353CC}">
              <c16:uniqueId val="{00000000-99EE-45EA-A905-215EE46E2EFD}"/>
            </c:ext>
          </c:extLst>
        </c:ser>
        <c:dLbls>
          <c:showLegendKey val="0"/>
          <c:showVal val="0"/>
          <c:showCatName val="0"/>
          <c:showSerName val="0"/>
          <c:showPercent val="0"/>
          <c:showBubbleSize val="0"/>
        </c:dLbls>
        <c:gapWidth val="150"/>
        <c:axId val="1508938960"/>
        <c:axId val="1508941840"/>
      </c:barChart>
      <c:lineChart>
        <c:grouping val="standard"/>
        <c:varyColors val="0"/>
        <c:ser>
          <c:idx val="1"/>
          <c:order val="1"/>
          <c:tx>
            <c:strRef>
              <c:f>Sheet2!$C$66</c:f>
              <c:strCache>
                <c:ptCount val="1"/>
                <c:pt idx="0">
                  <c:v>Sum of Total Value (With Commisio)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Sheet2!$A$67:$A$72</c:f>
              <c:strCache>
                <c:ptCount val="5"/>
                <c:pt idx="0">
                  <c:v>Bob</c:v>
                </c:pt>
                <c:pt idx="1">
                  <c:v>John</c:v>
                </c:pt>
                <c:pt idx="2">
                  <c:v>Laura</c:v>
                </c:pt>
                <c:pt idx="3">
                  <c:v>Mark</c:v>
                </c:pt>
                <c:pt idx="4">
                  <c:v>Stacey</c:v>
                </c:pt>
              </c:strCache>
            </c:strRef>
          </c:cat>
          <c:val>
            <c:numRef>
              <c:f>Sheet2!$C$67:$C$72</c:f>
              <c:numCache>
                <c:formatCode>General</c:formatCode>
                <c:ptCount val="5"/>
                <c:pt idx="0">
                  <c:v>23576.700000000012</c:v>
                </c:pt>
                <c:pt idx="1">
                  <c:v>17871.140000000018</c:v>
                </c:pt>
                <c:pt idx="2">
                  <c:v>17621.360000000004</c:v>
                </c:pt>
                <c:pt idx="3">
                  <c:v>21012.360000000004</c:v>
                </c:pt>
                <c:pt idx="4">
                  <c:v>20075.480000000003</c:v>
                </c:pt>
              </c:numCache>
            </c:numRef>
          </c:val>
          <c:smooth val="0"/>
          <c:extLst>
            <c:ext xmlns:c16="http://schemas.microsoft.com/office/drawing/2014/chart" uri="{C3380CC4-5D6E-409C-BE32-E72D297353CC}">
              <c16:uniqueId val="{00000001-99EE-45EA-A905-215EE46E2EFD}"/>
            </c:ext>
          </c:extLst>
        </c:ser>
        <c:dLbls>
          <c:showLegendKey val="0"/>
          <c:showVal val="0"/>
          <c:showCatName val="0"/>
          <c:showSerName val="0"/>
          <c:showPercent val="0"/>
          <c:showBubbleSize val="0"/>
        </c:dLbls>
        <c:marker val="1"/>
        <c:smooth val="0"/>
        <c:axId val="1191730720"/>
        <c:axId val="1191725920"/>
      </c:lineChart>
      <c:catAx>
        <c:axId val="1508938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941840"/>
        <c:crosses val="autoZero"/>
        <c:auto val="1"/>
        <c:lblAlgn val="ctr"/>
        <c:lblOffset val="100"/>
        <c:noMultiLvlLbl val="0"/>
      </c:catAx>
      <c:valAx>
        <c:axId val="1508941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938960"/>
        <c:crosses val="autoZero"/>
        <c:crossBetween val="between"/>
      </c:valAx>
      <c:valAx>
        <c:axId val="11917259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730720"/>
        <c:crosses val="max"/>
        <c:crossBetween val="between"/>
      </c:valAx>
      <c:catAx>
        <c:axId val="1191730720"/>
        <c:scaling>
          <c:orientation val="minMax"/>
        </c:scaling>
        <c:delete val="1"/>
        <c:axPos val="b"/>
        <c:numFmt formatCode="General" sourceLinked="1"/>
        <c:majorTickMark val="none"/>
        <c:minorTickMark val="none"/>
        <c:tickLblPos val="nextTo"/>
        <c:crossAx val="11917259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Sales.xlsx]Sheet2!PivotTable2</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C5-4C13-A41B-B810EA37421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C5-4C13-A41B-B810EA37421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4C5-4C13-A41B-B810EA37421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4C5-4C13-A41B-B810EA37421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4C5-4C13-A41B-B810EA374213}"/>
              </c:ext>
            </c:extLst>
          </c:dPt>
          <c:cat>
            <c:strRef>
              <c:f>Sheet2!$A$7:$A$12</c:f>
              <c:strCache>
                <c:ptCount val="5"/>
                <c:pt idx="0">
                  <c:v>Diary</c:v>
                </c:pt>
                <c:pt idx="1">
                  <c:v>Office Chair</c:v>
                </c:pt>
                <c:pt idx="2">
                  <c:v>Printer</c:v>
                </c:pt>
                <c:pt idx="3">
                  <c:v>Projector</c:v>
                </c:pt>
                <c:pt idx="4">
                  <c:v>White Board</c:v>
                </c:pt>
              </c:strCache>
            </c:strRef>
          </c:cat>
          <c:val>
            <c:numRef>
              <c:f>Sheet2!$B$7:$B$12</c:f>
              <c:numCache>
                <c:formatCode>General</c:formatCode>
                <c:ptCount val="5"/>
                <c:pt idx="0">
                  <c:v>235</c:v>
                </c:pt>
                <c:pt idx="1">
                  <c:v>231</c:v>
                </c:pt>
                <c:pt idx="2">
                  <c:v>296</c:v>
                </c:pt>
                <c:pt idx="3">
                  <c:v>226</c:v>
                </c:pt>
                <c:pt idx="4">
                  <c:v>312</c:v>
                </c:pt>
              </c:numCache>
            </c:numRef>
          </c:val>
          <c:extLst>
            <c:ext xmlns:c16="http://schemas.microsoft.com/office/drawing/2014/chart" uri="{C3380CC4-5D6E-409C-BE32-E72D297353CC}">
              <c16:uniqueId val="{0000000A-44C5-4C13-A41B-B810EA3742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Sales.xlsx]Sheet2!PivotTable8</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Sheet2!$A$32:$A$63</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Sheet2!$B$32:$B$63</c:f>
              <c:numCache>
                <c:formatCode>General</c:formatCode>
                <c:ptCount val="31"/>
                <c:pt idx="0">
                  <c:v>497</c:v>
                </c:pt>
                <c:pt idx="1">
                  <c:v>464</c:v>
                </c:pt>
                <c:pt idx="2">
                  <c:v>428</c:v>
                </c:pt>
                <c:pt idx="3">
                  <c:v>429</c:v>
                </c:pt>
                <c:pt idx="4">
                  <c:v>636</c:v>
                </c:pt>
                <c:pt idx="5">
                  <c:v>671</c:v>
                </c:pt>
                <c:pt idx="6">
                  <c:v>705</c:v>
                </c:pt>
                <c:pt idx="7">
                  <c:v>626</c:v>
                </c:pt>
                <c:pt idx="8">
                  <c:v>490</c:v>
                </c:pt>
                <c:pt idx="9">
                  <c:v>681</c:v>
                </c:pt>
                <c:pt idx="10">
                  <c:v>551</c:v>
                </c:pt>
                <c:pt idx="11">
                  <c:v>340</c:v>
                </c:pt>
                <c:pt idx="12">
                  <c:v>560</c:v>
                </c:pt>
                <c:pt idx="13">
                  <c:v>616</c:v>
                </c:pt>
                <c:pt idx="14">
                  <c:v>510</c:v>
                </c:pt>
                <c:pt idx="15">
                  <c:v>670</c:v>
                </c:pt>
                <c:pt idx="16">
                  <c:v>577</c:v>
                </c:pt>
                <c:pt idx="17">
                  <c:v>487</c:v>
                </c:pt>
                <c:pt idx="18">
                  <c:v>638</c:v>
                </c:pt>
                <c:pt idx="19">
                  <c:v>405</c:v>
                </c:pt>
                <c:pt idx="20">
                  <c:v>541</c:v>
                </c:pt>
                <c:pt idx="21">
                  <c:v>474</c:v>
                </c:pt>
                <c:pt idx="22">
                  <c:v>513</c:v>
                </c:pt>
                <c:pt idx="23">
                  <c:v>635</c:v>
                </c:pt>
                <c:pt idx="24">
                  <c:v>662</c:v>
                </c:pt>
                <c:pt idx="25">
                  <c:v>603</c:v>
                </c:pt>
                <c:pt idx="26">
                  <c:v>689</c:v>
                </c:pt>
                <c:pt idx="27">
                  <c:v>423</c:v>
                </c:pt>
                <c:pt idx="28">
                  <c:v>506</c:v>
                </c:pt>
                <c:pt idx="29">
                  <c:v>349</c:v>
                </c:pt>
                <c:pt idx="30">
                  <c:v>256</c:v>
                </c:pt>
              </c:numCache>
            </c:numRef>
          </c:val>
          <c:smooth val="0"/>
          <c:extLst>
            <c:ext xmlns:c16="http://schemas.microsoft.com/office/drawing/2014/chart" uri="{C3380CC4-5D6E-409C-BE32-E72D297353CC}">
              <c16:uniqueId val="{00000000-B3CA-4AF6-974C-ABF6381537DF}"/>
            </c:ext>
          </c:extLst>
        </c:ser>
        <c:dLbls>
          <c:showLegendKey val="0"/>
          <c:showVal val="0"/>
          <c:showCatName val="0"/>
          <c:showSerName val="0"/>
          <c:showPercent val="0"/>
          <c:showBubbleSize val="0"/>
        </c:dLbls>
        <c:marker val="1"/>
        <c:smooth val="0"/>
        <c:axId val="1191738400"/>
        <c:axId val="1191738880"/>
      </c:lineChart>
      <c:dateAx>
        <c:axId val="1191738400"/>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738880"/>
        <c:crosses val="autoZero"/>
        <c:auto val="0"/>
        <c:lblOffset val="100"/>
        <c:baseTimeUnit val="days"/>
      </c:dateAx>
      <c:valAx>
        <c:axId val="1191738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73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Sales.xlsx]Sheet2!PivotTable3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Sheet2!$A$15:$A$20</c:f>
              <c:strCache>
                <c:ptCount val="5"/>
                <c:pt idx="0">
                  <c:v>Bob</c:v>
                </c:pt>
                <c:pt idx="1">
                  <c:v>John</c:v>
                </c:pt>
                <c:pt idx="2">
                  <c:v>Laura</c:v>
                </c:pt>
                <c:pt idx="3">
                  <c:v>Mark</c:v>
                </c:pt>
                <c:pt idx="4">
                  <c:v>Stacey</c:v>
                </c:pt>
              </c:strCache>
            </c:strRef>
          </c:cat>
          <c:val>
            <c:numRef>
              <c:f>Sheet2!$B$15:$B$20</c:f>
              <c:numCache>
                <c:formatCode>General</c:formatCode>
                <c:ptCount val="5"/>
                <c:pt idx="0">
                  <c:v>17.429999999999986</c:v>
                </c:pt>
                <c:pt idx="1">
                  <c:v>17.179999999999968</c:v>
                </c:pt>
                <c:pt idx="2">
                  <c:v>14.379999999999969</c:v>
                </c:pt>
                <c:pt idx="3">
                  <c:v>14.869999999999965</c:v>
                </c:pt>
                <c:pt idx="4">
                  <c:v>15.979999999999979</c:v>
                </c:pt>
              </c:numCache>
            </c:numRef>
          </c:val>
          <c:extLst>
            <c:ext xmlns:c16="http://schemas.microsoft.com/office/drawing/2014/chart" uri="{C3380CC4-5D6E-409C-BE32-E72D297353CC}">
              <c16:uniqueId val="{00000000-21BE-4D87-8860-9DA7F8C0C862}"/>
            </c:ext>
          </c:extLst>
        </c:ser>
        <c:dLbls>
          <c:showLegendKey val="0"/>
          <c:showVal val="0"/>
          <c:showCatName val="0"/>
          <c:showSerName val="0"/>
          <c:showPercent val="0"/>
          <c:showBubbleSize val="0"/>
        </c:dLbls>
        <c:gapWidth val="115"/>
        <c:overlap val="-20"/>
        <c:axId val="1368957136"/>
        <c:axId val="1368957616"/>
      </c:barChart>
      <c:catAx>
        <c:axId val="13689571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8957616"/>
        <c:crosses val="autoZero"/>
        <c:auto val="1"/>
        <c:lblAlgn val="ctr"/>
        <c:lblOffset val="100"/>
        <c:noMultiLvlLbl val="0"/>
      </c:catAx>
      <c:valAx>
        <c:axId val="13689576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895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Sales.xlsx]Sheet2!PivotTable9</c:name>
    <c:fmtId val="1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70814209721112"/>
          <c:y val="7.6933694420484047E-2"/>
          <c:w val="0.45556669052732046"/>
          <c:h val="0.83017616684040663"/>
        </c:manualLayout>
      </c:layout>
      <c:barChart>
        <c:barDir val="col"/>
        <c:grouping val="clustered"/>
        <c:varyColors val="0"/>
        <c:ser>
          <c:idx val="0"/>
          <c:order val="0"/>
          <c:tx>
            <c:strRef>
              <c:f>Sheet2!$B$66</c:f>
              <c:strCache>
                <c:ptCount val="1"/>
                <c:pt idx="0">
                  <c:v>Count of Item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Sheet2!$A$67:$A$72</c:f>
              <c:strCache>
                <c:ptCount val="5"/>
                <c:pt idx="0">
                  <c:v>Bob</c:v>
                </c:pt>
                <c:pt idx="1">
                  <c:v>John</c:v>
                </c:pt>
                <c:pt idx="2">
                  <c:v>Laura</c:v>
                </c:pt>
                <c:pt idx="3">
                  <c:v>Mark</c:v>
                </c:pt>
                <c:pt idx="4">
                  <c:v>Stacey</c:v>
                </c:pt>
              </c:strCache>
            </c:strRef>
          </c:cat>
          <c:val>
            <c:numRef>
              <c:f>Sheet2!$B$67:$B$72</c:f>
              <c:numCache>
                <c:formatCode>General</c:formatCode>
                <c:ptCount val="5"/>
                <c:pt idx="0">
                  <c:v>257</c:v>
                </c:pt>
                <c:pt idx="1">
                  <c:v>277</c:v>
                </c:pt>
                <c:pt idx="2">
                  <c:v>257</c:v>
                </c:pt>
                <c:pt idx="3">
                  <c:v>240</c:v>
                </c:pt>
                <c:pt idx="4">
                  <c:v>269</c:v>
                </c:pt>
              </c:numCache>
            </c:numRef>
          </c:val>
          <c:extLst>
            <c:ext xmlns:c16="http://schemas.microsoft.com/office/drawing/2014/chart" uri="{C3380CC4-5D6E-409C-BE32-E72D297353CC}">
              <c16:uniqueId val="{00000000-21ED-4735-B5D8-7F230B2FC9C8}"/>
            </c:ext>
          </c:extLst>
        </c:ser>
        <c:dLbls>
          <c:showLegendKey val="0"/>
          <c:showVal val="0"/>
          <c:showCatName val="0"/>
          <c:showSerName val="0"/>
          <c:showPercent val="0"/>
          <c:showBubbleSize val="0"/>
        </c:dLbls>
        <c:gapWidth val="150"/>
        <c:axId val="1508938960"/>
        <c:axId val="1508941840"/>
      </c:barChart>
      <c:lineChart>
        <c:grouping val="standard"/>
        <c:varyColors val="0"/>
        <c:ser>
          <c:idx val="1"/>
          <c:order val="1"/>
          <c:tx>
            <c:strRef>
              <c:f>Sheet2!$C$66</c:f>
              <c:strCache>
                <c:ptCount val="1"/>
                <c:pt idx="0">
                  <c:v>Sum of Total Value (With Commisio)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Sheet2!$A$67:$A$72</c:f>
              <c:strCache>
                <c:ptCount val="5"/>
                <c:pt idx="0">
                  <c:v>Bob</c:v>
                </c:pt>
                <c:pt idx="1">
                  <c:v>John</c:v>
                </c:pt>
                <c:pt idx="2">
                  <c:v>Laura</c:v>
                </c:pt>
                <c:pt idx="3">
                  <c:v>Mark</c:v>
                </c:pt>
                <c:pt idx="4">
                  <c:v>Stacey</c:v>
                </c:pt>
              </c:strCache>
            </c:strRef>
          </c:cat>
          <c:val>
            <c:numRef>
              <c:f>Sheet2!$C$67:$C$72</c:f>
              <c:numCache>
                <c:formatCode>General</c:formatCode>
                <c:ptCount val="5"/>
                <c:pt idx="0">
                  <c:v>23576.700000000012</c:v>
                </c:pt>
                <c:pt idx="1">
                  <c:v>17871.140000000018</c:v>
                </c:pt>
                <c:pt idx="2">
                  <c:v>17621.360000000004</c:v>
                </c:pt>
                <c:pt idx="3">
                  <c:v>21012.360000000004</c:v>
                </c:pt>
                <c:pt idx="4">
                  <c:v>20075.480000000003</c:v>
                </c:pt>
              </c:numCache>
            </c:numRef>
          </c:val>
          <c:smooth val="0"/>
          <c:extLst>
            <c:ext xmlns:c16="http://schemas.microsoft.com/office/drawing/2014/chart" uri="{C3380CC4-5D6E-409C-BE32-E72D297353CC}">
              <c16:uniqueId val="{00000001-21ED-4735-B5D8-7F230B2FC9C8}"/>
            </c:ext>
          </c:extLst>
        </c:ser>
        <c:dLbls>
          <c:showLegendKey val="0"/>
          <c:showVal val="0"/>
          <c:showCatName val="0"/>
          <c:showSerName val="0"/>
          <c:showPercent val="0"/>
          <c:showBubbleSize val="0"/>
        </c:dLbls>
        <c:marker val="1"/>
        <c:smooth val="0"/>
        <c:axId val="1191730720"/>
        <c:axId val="1191725920"/>
      </c:lineChart>
      <c:catAx>
        <c:axId val="1508938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941840"/>
        <c:crosses val="autoZero"/>
        <c:auto val="1"/>
        <c:lblAlgn val="ctr"/>
        <c:lblOffset val="100"/>
        <c:noMultiLvlLbl val="0"/>
      </c:catAx>
      <c:valAx>
        <c:axId val="1508941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938960"/>
        <c:crosses val="autoZero"/>
        <c:crossBetween val="between"/>
      </c:valAx>
      <c:valAx>
        <c:axId val="11917259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730720"/>
        <c:crosses val="max"/>
        <c:crossBetween val="between"/>
      </c:valAx>
      <c:catAx>
        <c:axId val="1191730720"/>
        <c:scaling>
          <c:orientation val="minMax"/>
        </c:scaling>
        <c:delete val="1"/>
        <c:axPos val="b"/>
        <c:numFmt formatCode="General" sourceLinked="1"/>
        <c:majorTickMark val="none"/>
        <c:minorTickMark val="none"/>
        <c:tickLblPos val="nextTo"/>
        <c:crossAx val="11917259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815D1F7-DABF-452B-8E5E-D598656C1294}">
          <cx:spPr>
            <a:ln w="12700">
              <a:solidFill>
                <a:schemeClr val="accent2"/>
              </a:solidFill>
            </a:ln>
          </cx:spPr>
          <cx:dataId val="0"/>
          <cx:layoutPr>
            <cx:geography cultureLanguage="en-US" cultureRegion="IN" attribution="Powered by Bing">
              <cx:geoCache provider="{E9337A44-BEBE-4D9F-B70C-5C5E7DAFC167}">
                <cx:binary>1Htpb924su1faeTzk5szxYPTB3iUtAdvz3P8RXBsRyNFSdT8629tJ50Tu91JX6Af8DoIEtjaNEss
1qpVtcr/fpz+9Vg+P7S/TKas3L8ep98+pF1X/+vXX91j+mwe3IHJHlvr7Ofu4NGaX+3nz9nj869P
7cOYVcmvBGH262P60HbP04f//Bt+WvJsj+zjQ5fZ6rx/bueLZ9eXnfvBs3cf/fLwZLIqzFzXZo8d
/u2DzmCXD788V13WzVdz/fzbh1cf+fDLr29/0B82/aUEu7r+CdYSfiCk8jnmFL38wR9+KW2VfH3s
w2OkhGCK/L7nyYOBdT8148WIh6en9tk5eImX/78te2UxfPfiwy+Ptq+6/TElcGK/fdhWT9nDh18y
Z4MvDwK7N3d78vJ+v74+4P/8+8034I3ffOc7H7w9np89+oMLds/tQwnG/V0+wOiAMeVLKdmrw5fi
gCGfCIbFF9+88cHP7XjfCb+ve+OF3dE/ygvXXQfhetY+PD279O9zBhEHilAuMP5y5uhNQKADLgTl
xKfq5Q/9fesvcfGXrXrfNW+Wv/HQ9dk/ykObh3Z+qP7GQCHqACsfK8bfxglliDDE/C8+E6998hfs
eN8b3xa+8cPmn4VX4XOZZr8fyd+QMvwDwShVSHyFpdcRIuUBxpxJyClfIuSNN35qzfu++LrsjSfC
fxZmre3fGA2YH1BBCVXE/3LQ6nVUsAPEiVCCkC+PIWi+ZKwvSPUTW973wsuiNz5Y/99/FCqt+/yh
feh+P4y/IR7IgVBEYMnIF/h5Ew/4gCuJIKHwd+PhL9jzJ774/UXe+uPwH+WP3UNbPXQPxd8ZGexA
YsQI+xOPiAMMpBco7/s5/C9Z9L5Pvlv6xiu7f1aUHEKVUaQP1dPfGCf0QACvIup36uS/wisoNThQ
XUrEVzgDMvw9Xv0li973yndL33jlcPOPipXjB3DLg0u79u+MFnXAOEE+5epd/IJoQb6ihH3NMm/y
yF+06X3PvFr8xjfH/zDfPCcplIXz3+gZKM455RAT8itQvc7wCh8QKYUPyeUbAfg+Yo7/ikV/4pf/
Ln3rlX8W47p9dt0v+rlKHsrf4eRvyPj0wAe3cCTlawiTB0oC5WK/u+tNqPxFY953yavFb5xyq/+/
hrH3ezvft09efeJ/28IiB1CPcwwM7F38UnuaLJhk7/Ovr52mP7fmfXd8XfbK8P/Hbas/b2l96/CF
wKSil9bgd12tHz99eT3oVr5Z+qPu1pez2j799gEjjCRRUOJ96zruf86rxH2cLbZ9ML+H3+tlzw+u
++2DogeMSsK5zxWVEDUjhC18mwDAQaeFQWvMpwRR/OGXyrZdCn1LBivES71PEceSA5lwtn95hA8U
EwKyme9jWCvEt47smS3nxFbfDuTr179UvTmzWdU5eCPYo/7ysb2lUMYyaCsoKoiQQOHhfeH548MF
dH33n/4/E3ZLVWAzbKqBWc2Lql6PvDHrNscntHVqm8XDx9ziSfOkfyaxiI8TbihE7Lcje8cM5QPW
/8EOQpDk0CakTFBoPH1vB1WJZ7GNh40oXLnpJF4xWqzsEoj+KE13rNk04iw22UmfjbmeuUs0SeLj
PJ063bT0qm/kiSObxd0s2QlF1Y7mUx1kfsd13PnhKOSuxnWix8FpxrvzuZ/XOHaN5rVAIeqvR5cf
zXyMpriKcuPOpmI6HYv4kNC6155Yxc7cMpOcenltdM6Lqz6jbeRo8sBkYUMkexFyMUy1RklbRxNs
FPb+MjNtszvn6is6T6sinjd5Qs9G5ahmrEg1HKyjtLtLxVjoxC5oJROi7SSOhsrgFU+TYCbH1rMr
0dBg8G+9YrlI8vyyEe7QJdOGUHlYpVWQF4lGsrmcJv7R70qp56k4UYz1miUDDyZm/Q3l2a2y5qT1
l0Mx8WebZhsf3XsOXcsEtu/kccvbCxHjNelshCcvHAlpNJFgBlSJwdwXUTeXn2w5PGUNFZt+oTis
CvGZqCXeOk7SrVmo2TRF34STXHYdHo89v3ehTNJSj5gEdBaXpky2LbpwlQwEoiJc2HjZTMkZlD0r
OuocTksVuqzmKBNhJ8bDJqfXxvcbjTymhbtsqunzYPzt5NDHxTE910jpdKzvkjFbzTzbkYbylZmS
0MQ26qS6huulC75CgjLNsDTh1A3RjIaTxIvv4nrZDYJetFJVepL9NaY2xPjJGnPi0LDrhykPWJ+E
dlpGjTtOo5ZUQRGXoZq6+5x2AWHdotFU3km4mk0qrjODkI5R9WSbNtZzakLrcqMJ8iKTd4+oq1N4
HBd6ng87UUUSjwEf0tvc4CtmbmXbLqd5MRa3w2J2rmDn8TQMa38elW5FMm4ZEaEcip2sVCiaatOl
xZ3o4+fCs8fzclrza8fMonHjZZrU6Jx00mpvXLZ1kt8yXI2bfrDhkKdnSyyPhqkJE8FXA6enbD5v
/fpYIhW4NuXastkeMeU2fY+TsBfpWTfFZZTk3YYyzHTXTTzMKl5s/PRsSPBRZU3Qqq2raBVwUWuA
g7Ms63OdxNNtvXSbpRCf4iWL8rEqdeHh9rhRuIXIKcogEzSapy50fvaJl/6qKc4YRsFY43NjTIgt
W5VouUG+2Qyk1ICno14WcetlccC8cg1XQ4YoJWZLbc/0gFEfxIM4sT0+TIk8rchynQ2Eh00vP2ZC
yKDIeCQWHswzXfVmOpXErQmZgmrx5W6oxihp0kcxsDMc5/twIqcK9aNuOn6aqWQ7Feq+Kppt1vMn
W+Bt3iznM2KJZsSaVVFWG16h8ahsvHxl5eSHuM0vkrRzwRKj04TKLKrwWSuWADkEJ9/AOSFv69fZ
MYhnYyhiOgZ1O6zYnLUARfyMt/G5KfNGz1V9lfnVekhjFmQ8xRqQ5pPlKmSzuDHYQKy4OiR5sSod
L8J5sjubttdyaU/jqvvYz6bepLhPg1r6N8s4X8pxTMJJHU+y29kk1oNpr5CnThfafOxKfk86supt
fITm/mMzF7fFLM26q+E9hKdnz0btMEeLzMjFzLwL5cPxGNxEvqwOu55lQV/Mi26YJTqVbb6R/rgd
kb8hhK6Xtv5MC7OuoDPkJ0umxzneVnVKjpsYIr9q6inAjf9MiLyZ+JRrW7CoGedVQ1UdpKx0kaFZ
oR2uNv6iHkhPJt04BfevQ+tSpCgguXdNLD2a3OwiiLCTbsa3jao+zVI2ETN9FSDjHvJCQmAYrNNu
/Dio+Kzy/Ctv9I/Q0J0sBA3a5XJeu7Y4JjbZLgl7bhKPa9QmZYgzd7TAsXpxfFwM46otRKaZHRc9
tyYPPI/5QdomPGinOKKo2EHobTvcV1HPvLO2HiiARVJEOPeOGeJVkCXZU2vrtVvKC9SVDo45OXdl
v24k3IfWh5MsolbI417RrV3Y4ejGqGwPRdoFhfSzjfU6jeb4UPCPPS2uY+OirGvXxdxrOVZBYwGE
kI1XXRqv61aEtb1PXXVilLwdWrydShV2JduNrtuMQ72KaRViNZSB74styqZYF3mnC3nZxGPYdGwz
ZyeN7W5nk+pxLDcKbrpf4jsQkE/JOGyKRSVaqnXWxUXIXbxZvHQJp6G9EjGIYkUf65RNxaFob33V
hrzstRiprhTZjGV/hOXRtNDQMJNpr2rPvYUezxMgVz0JrXIIeY/LMz6lz/W8SwYZWYlO0+mzGZYT
xMUqzxfdIvq5i20T0T4P+xLvgL8Fw5h9zkj1lCbslIruhIp2kxXJFZrHCPVponmr7vx8CvP+c8dx
0MwAnaYKHG9PeDNBENo7CJGbZuaHsrwf/OJjPlT3iZeHrsiPetSfylwE1HKAlzg95gBaCx7OW2cP
5Tid9CoP5tqcNtzcm8Qrw9ljn5RsToaebOw0H8skM2GX0yBXeGOoC0bcP/RLf5fmKir5silw/ri0
1SdD513qHft1rKuJaJ9brkVaHzvhAlNiF+S+HrNLYg4pgEI6hgxguV/CtDMB6/qom8x6pMdL7m9H
Up4ilT0P/hDRMslCFkP+tN1aTGE5lI1OC3RsExnrUjVHCSvO20oE4yIuejMEaTLozHQf0+OqPCLu
OmdFSBtvVbv8pM7dBo/OajpkNzKTXHsLiaoUXis/k0tY9XJdTuPGGvfE1LRLs2IzNXCALTlihmAt
pnKrmixKXLljUx4KKW7aqf2kmj6OOsaMLof0hjeeC3jRLcGUm+sJC3Y+LgoHInW+BpUUiI212doO
NBi99rDIy6DoiNUV42d1Kj4m+fxI4v7WDeXam53RkrU3bVFv7Jjf5LKNOB8DQYZ1MgGZWa6Gjuge
gLeI/YByc9HUlQlit54xj+TgBSQ5HkaugjGdjpSCqx7bQI2fy9QEfXbeNepwNOos7rLT3B162RyK
UgbTxbSkK+tWqahOm9i60CPtFBZpCvkjizzUX/SQisLZ9jof14u6TiS5TUZ0kfUI8MBfZ8lVkRXr
jvJNn7GzpfBXddsfTcicD/jMULhALhiW7N5DqZ4aXGjbcz3nn8ax24iRHGV1m2ivmQ4n5XAwNuKz
qm5SiM3ZJocjTnTe2k2soJCom1XWHWV4TnTpX4kxWfmse8h4pRFSfchjlGkf+EPvyduio1bPzU2z
JNHSeNue7JTvBVkOkMWAkk6xOGyMuMTmauBRYmc2Br0rGqVjKRSAtblOkPSCasizQyXNUS8hI7fI
LYcyrorj2hfm0eOpiqpksds4pi1wyFZ1d3ws7E3TLYNeMt4HQ9nNn6uu889UjvzjtqDD0zDaImKF
QmvOc6gdFhEPQdz7AfH5FFnO0aOoyvTcp0bsUJPwRAPYm40idXFjYS4lKrFRF8tA4SS9Lr03wIY3
ZVbHUucex1FXJ/YwVz7pgxQVaVTSCgK2zLZYzslGtgw9w5b+oyyX5ZNnBNoYPnfrGOX40oqWrrBM
ulM/ndtDVOVmhzzZXkK9B/wYiNmkh7Zy540p6JUPFgeeaiC35Om4RdjVOzuwZNt7M1nJNoEct3hT
GM/Y3yaNRwpthlKte1s3x5XNkwhyTR1MXC1bT9XumFQyPizb3h2qXg4ISByUXlOr4NytqI87JnFQ
kfnY+mQAPjOj/NL6nbxBLZofa1s1u7wT8SoRS3LKpsV+nOiiTnJaNddQ6ED8+C4xn/xc9HdeSfmo
gRrnp2zo+BVXeXqhKJrP3ajqEzy2/GJg+XTaWpXuZnYzZFw7f2jXaummi9hidu0xNg+6ymbykfve
uJqaGqBsmcrzdpD9yZgt8miGhHmf8kxujO39Hc6n6VPeLtVZX47dGcedOy17nG9NNtdQQ6peqyRL
dWr9foXnKlknwOu1oLXQxbAITWOCA8tys1ZpUq/NvsCuijmbdZrERBfliANMU35L+yQNJoCn+5yX
5KSeerphucQ7b1lmwJQq0abMzux0P6V9kGcpD4aunE8JmSGT1mYeLh3czBlnoZvN2lpchX2zPPIy
96DidT0P63i4ij1x7VfLqWiKjyIrN4ybbWpJwJa+BNjPNp6Ydk2WR1k9iohLHnjIT0LmqYjPkH+R
vBu9ZjvMOQp6zJ5ECcmM5A+sLaLZ5sGQFKuuMlEFzA0SA+NTpWtfiRM/YWhdxe3tROwVqdg2Q/5J
yfqQ4SVIcwoW9+uhOCGovcG4U1HtubtlSVM9wzhV1BpxNbDhOvbwaT2LUnuARFlaHM2Tt038+dTP
kmFb44aF3CPlxlRDERYLOZ39XvuElYHNq0g16XGTjW5lcyDlLst0T9hqaLtV5TwS1pHrb/u01p11
O5X6OlP+Kimrz3Xlrn/c7KDidbPDZyAUwTwah1qTMx8j9abpIvwcGBMX40aUt1DmZ7tl6qfTaayJ
9nA5HyJRNSeTTZZzwKf0YswEv8K5y0/buBGjdqIa7vxiMJ/kS6gU+6iZ9/HD95GU7mOq2EdXs48z
/BJx+9izS1JcjrSCBoqF0Oz3Mervo3Xex225j+D4JZinhLrDviy8wySGWJ/3Ue/v479VNomMWZpj
o5xaj/1ICx0nsb/N42IOK9zGZzB+RFb1HlvwHmWWPd4kMSAP6uIpaNhIrySfAZewA36epGl3iXLr
LpF1ZgfzYu1hvbTdabJANab2SEdiDpi3Rz+xx0G+R0QvsfiZ7FGynbtsm9ZWq7pJo+IFTPs9rnpZ
QiLzArZ9qcbNXPjpfVUDz6jRrC5YXqgopaS4GWgKBcM4AnyjdBS7Zh7Tc6YsfoyVN0WmUQGtc0jy
L0nA9gVej/vM4PY5It5nC7vPG3mm5s9on0vafVaBfo69wftM470kHfCm3SYCMlGzz0n+Pju5fZ6K
ZZlupwnmLfc5LN1nMwxpLYszkmh/ccsTQnTnS6Va3RDsbsbWoDt/7rtaz1lJbmcuoallejJ/HNWU
QNRQP1/VCTSgCribUS8GqxcDBI5kimg6VSfSldVJmqZZRGqSntQD3DxaNqsairaN8FLlAtbK+IEZ
3tuN9dECxY3t8MqBatCGWfeyI22hzpfGdxLytCcruExVmgbO2vLMVrl48BtCdiYHkFiL0Yd6VWAG
TMF0XjVqKVjxiaL6fKClisMaEd6s0pgCL4FqIegbr4CGlxG+zjsJXTVeT9HQNBcpVJub0WMf2wpa
OT0aoJJYgFcucH3nsjeQbKZIefFVnjdXZZeayBvzNly8ypyMqOoiHwr2Zyhibj0f8WPaKxW5ml0P
GVDPwSM0QmYoAGFTP8iapLzwR+Ed+dlURJDoXRijIruSqEu16Fx+mApxleH8ym+ydJc3qthUEmh2
b9BhQnEXVUM6pSsxDUB6urIIByruM4ygV4Kzz/PsFUHZLCmw4qKPCJ6PWuAfejTw8REuRpDL4Y73
2B5WHNFVJSYWFK0l62Yu2xAPymi3sLWf2j4oq9HTKWr4Cpqp0FZBMOfZo3PghUQjMTUa2Md1bacb
S0x1OXo1lGN+ma5Z3w++TvrCHqWyTsOySOy6m+c6Gj2M1zQX9cqXy6J9NrjVQCDWrA99zdhZqMCS
WepkcvdjNcjtjIvsLluqe45LYBC8btel9Lu1UbRdx0vZw7XKnG6MmYIWu0x3tej0HC9NgGroL3Y5
Z5AdlQFqUSMo5894M/thQoExzSmU/Kkf2xsbd+DhGarWeF8PODVcwTq+TSgvIe0Syq6dL6qd7Xi8
JbVCmxrS7rGN5ROunbkqiLfALQBA8Uz1BFXM55yKq9QIHEw4k5p4CTupbZ0HVsDZlSp9cgo4RZk7
SO2NMyGwAqzVnH2aZ3I3lh8Rz487H8GNIFkwV/JswZaEc1F9Fm65mLEVQIX7SntlV1Lt+ZJEUHQk
J64lQ0hzAEeMoPAYKh+SlWXt5YAJulYQ7VC94sfJIhrxJr+WbbnBLQCXR/0RKuO61SLB6VEi6W6W
Ywq9ZIivqYUkYT2gA9CQPhliTmLdS9tssm6w25R46SYZk+Uu9/dFZkLn1TIVA6xzslmCvBuW+zgr
TEgVSwPZl17AODS9ZJfXD3k6023iCbRLR5Vvy46509jK7mxwcXXGY2/6FAP+7DBp5GbaM6phz62a
Pcuie741vjCvPQcjXie33mi9MH5hZ4C47NrfU7Z2T956OPGXxPtVOPoqM3xRPx5tPbfZvon2IgB9
+/I/V9bA35f56f9+cz/R/t+vjn8fhf/hp9bPdj9p5t5+aG/Nt58Fu3+1bq8bvfriDzrWnyhVXybr
/+ThX5SxpBIgIH0TZP6gYR09FC59eBqfn+tXOtaXdV9ELMkOMKGgxUtB8X6aAgZYvuhYkhwgEI4E
Yj6H4RefwZOvOhbGBxLthUkKqg5QPfZfHcs/gKEyGJehUoEKxmAO/3+jY+21su/0I6FAk5ZYSoSF
ID7C6o1+xO0Ypy2tWChGc6iMW6vRL48S0953Lhs1kygsxFhBldqvYz/pAy7RTRoLdGTdcEfH/GNf
tyeiXeb1lA79pmu6szwBfQLeIgtt72VhUzsWtLy863xXaqSKu5HbUA3zIYUxRV31ooYuNVT4Y376
nTfekcdAcHz7cj6lIM9Rn0rsszcvl6My7ZbZsnAyeYh5DzrS56qtzxA0r/93OzHwJBcwhIzhL4zt
wwTA9zJc4rVYDsaw0GGrswRkpco7mjsQQ+ok/PFW9DULlkwwIUEegP8oh/8ICKPf7zWLbDTe2Hhh
JYZHGTcSuER1280VNDUV3saDTYJSAJdHjahDOfQuQIINWkI7fh1j6Essfb1mmfwIn7qqKnPscbKE
nLd3iTfurJAPJA0ZCHyAg/ZTO5k5qGm66KlqjmaWtLri2QjtTHRoaO+21AEB6IZiihjKxjCN5wcx
LB+bJrunjYRuUoH4T44b7z33nfy6f3lf8f0kK9QEHJP9tf5Ofo25TIeZeiq0vr9O80pjMzVBnXar
2sZrZe9qIx48fwgIqGcTcELNBvNUeunzj53xstFrQ0D/hdQIQwaMgLL8xhBIrlNiEg49iK7PQDRq
ZuBC8s5PXBtOuHws+2LH8llnZblr++XK8vl8iHO5pjVwDaPIOe3by3zKwok3a5bIhyVP7s2MV0vJ
YeD8Gzi9Ew5kXx99byyI3j6AEChcMKOy19Rfn1qV+75XdFMaIbTkAe+gf4rGKzagy8YTx3WXXbne
bnMlNssk1lmDbrx0anXPqAYyBtk7Dwe8aNlhGixAsvYcbqxb9hNV+w/eBTsV94kvGIQSB6R7bSdP
GimyTHrhkJWXNRDg1WgMCEcjSMu837nYYW3yEWkmOqaLdrkfmuVyNm3Ug4j440Pbn8mbM/veFv9N
zYlEjctSlnEYV9Dgq6Fjo7BGMcjQPlm7n273gklv9xMwscIYeErCb5C9fndJ48JfSqlC2i1G9wmw
Rr9rw96McCvYJU5KsvJnAwqk9dKgMTI7E+m8ZSi9lzOlOs9jFyWjKaHxX93FPQ8Sp1Ymd1dLVhY7
kooy6GM1rWKenSuDeuiMK+3R5cjvHNvkIp50jasmaAeiZ2JxNCb9DoYzQYKpuIkYa/aSXLKKgUnr
Wjm3AQY3Q1uvWTQ3NtekTWjU0eXsx454DeZyP7EB6WD/6wX7mR4Gee9VyM8Ulc524IhlYdHCklVe
n0y5Hxbm+McbvRMmMDtHISn6IGgzyt+kDdAXGlLFENM0l7tsKJ4rDn1d5tegPCrah8qB2jyNl6xZ
tl0/X1DojsW+cRq43H0L/euKu6dELtD6KTZtSa66rj2ebLn+sZ3sj1fztZ3AH74HQRQrmHmomyKK
F3E043HlCpkHKDd3MSRoLdEwhGkNFVHqpU6XU3XcTvUc+HVzl+wFGNDWvBPBnBdNU0M3NM+G49a1
JszJWID46sfrpBHscBFtcdOPzAZ1050Mdhw0q3un626YtEdqBlcNNhZomMN0mUsoLxh0ZMa5g8Z3
ZiJLun5dMXs7dflDnELNPNXjfD/z/oYsPkwxAHP4bGpQxqY4aVdx3yS7SthlVaTlzY/P7I+XCNgO
f5nEw/AvfxPNRaeAblBQ/hMen3S2ABAcgozKdVyT1Y+3wu/tBZxDQt8Gusbwu5Sv3TPlqOkdtSoc
yEIP+365XbKa7up2Tm7SEfT/soHKvpqPXfI5kdkYWOpqTRQk2LGzUHnPWIBTeHuG1fwT4/Z7v0YZ
SSnfj1RDUGH5lvaV+YAN94s4zE15OCcryb3d0lz/5ATeMhUpJAxJAYhJ2AOT/QjX9xe0JUXSD6JM
ohyn2p/ktIERkyLc96WWLLXh7PqLManrh7Lh1/k4n3NHoxxZFkhW9VEDcjAMKWUw4+GmM7/l6VHp
dYVuY8l+Qijes1T4DJIiXAsCv6L02lIQB+Ny4lkc+sICqmRmBTq25inMmiQIlaACyhVCMfTZup/k
F2Dyrz0Bs2Qw3A7zEhyyMn8LNoNvusUmNg5NLW/iUQLEtIFRNqQVuRjmPshM85Mt8Xt7wsg9/A4p
DDIBwL3xizIwZiELmHZQTbw2xMOaZPV0WDNJQ5IBtTf9Y1oM103KHvJMPJCFpEHsfYLfRk6C1LP2
xJ+qz7mkW2wliE5XP7437A88xf8f5r5su25b2faLuAfRECBfuRpKsuy4UeI4Lxy2E7MBQYIN2H39
mcvZN9ZCLOkejPtwX+UExAJQhULVrDkpgmnA9eCEAWT+Pv9H0d0a9KQL6RQAy2KPVY0USJSf8xrm
si+lQLFoR+USh2hZ6bc6Ku/sLv4Yu2E9I3n7aeh3k9aCv0fN/FtdlkAzhedi7vo0UNXbRajMlAAV
REjCJKb7KnDfnqQtznMRJLcd/nk3fLmrFetTvY6Aftj+rKLxr02HD3bjn8hYoFzQIgWuzrzIl9PM
BvXCDsnrZxkuOyRs8WyRCHJhO0hYXJ/HtqomvDZKeRxn+UB19G6PuxvZzkFqzNocmmQChi4qX5u1
aA4kx1861AmHDViOqRjfT8Pyng81LoOAIhun+GGlAy54GaYxkqCyFwB4JSMgWWy4L8ZpQlIGzrtH
zXFYBEmlVvey4MuxyvPPKIO3SJfEH2aWfCK0ek0KdlQNvR1q3Ab11h6XUAzpbvc/y3o2R0v7N4Ot
jjMmSkL9S9Os92td36tGRSiRRp/naToGjKH02S7ZNAnA9FTW4w1yWhMlU9KK/cxbRk8r609dEJI0
vBRKJ70ekShbzyUfD2wFbgb/dEcj83UZil86IMj2BACNv54/jP+6ZAExFXikozOIhAzdDtc7YUWb
tygXIB6jh36/ieTN3N1cEk/dfyPN/9dplv//EihXaOerRMglsv/nhfKv9MkVxvo7APjy3/8X+yv/
wwnB3RkB1Yq2rEst6O+0iYjR7osuUiSZgeW9gv8y+R88bIDxxYYluN8uuZb/wn/FfyQSLciySIrH
Mzoj6P8mbXKJrH5cnwElwI3DVyeO4xzzNe9UhfdRSY5J9Ms4o+nun9//9u8RHsOKnxr38vdHDi+h
1SzGZpWnKSqbErC8bftYUrH+zXvwN+3B/2J4J6CtZaC2ZW3lqRz6YXi/iD0sHgrUvL49P/3riOfH
slBn+hqwCKtycUpoNO7vDKr3YVoidCFpyENNU876KX8hhHlqrRzXOGLv66VoxWkdkfZJ45AhYOo2
Ef/x/I+5NvwfP8YJEWXSh6ZONnGyxPDXhCxcf1jCOkSIHU/tmgUS8XCqt968f/6DT/yg7xDvR5tv
4tDM8vJBAAfketeVNke+f7SoMj3/gesg559fFF/CgUcfiKt9CSfLotOiRrnciQ0V9oNRIy3vI1XW
9DWxyqpDP/btJtOw4aQ/h205DzfPf/+JHyicFW0GJsi2IucxBGbJionwJi1YXPz5/PDkOmz48fsu
O/no9xmpR1zQW3SyRTH3ByQWMsnIN4MrHODwvlhmPKQ3Gdx3S0HUydKui1FTKGKq0dbkYb/xxTAe
zaApNqA+ogUrjMjmgPreNxktld/yxY7T6eAIlnibotO2jfL3sNu6NJ/tS7nSJzYnvvz98dRjBHgj
G6KTYlX1F4rJ3X0bVMq+EGA/NbzjerpgiVBfjiLkx+T8G1l6jprnLv0cW+w4nqFZamNoH52mDpiP
U7gG83AUpkNU6rexjrOha0HiranhbDpuATMUKCSmfQ9LPT7/gSdc56Xe8Hj5dQJQW20Lmelm7PP3
Uuve/sb6PQnvJtST5Tt0rjBx+/zHntoMxxBpvQVtN5oga7tNirdjhZ7S3/Q0Bd+8xnfzdmMc2nBZ
ozjbO6JPW8GDAclXNQ4v7MblxP/k+pXOYiUALjco1+dZF8S7Pi8DMfOpWS4AHlSReeL5GcefMN7l
MQoSErGppdMNUhFteELlsllPppqW1c+upeM0+m7uc7bqODNU7Q9q2MpfUAJPHp7fi6fWyvEai1pj
siCEymiwVgApDpIBZrp1/UeFh//6wlI9caIuVEWPj28ZF0bF0sTZ0PDtNtB7+EtSkKF54T301PDs
evgur7YQiyMyK3uAXsJ65Z/E3pnT82v01PCO+7Cz7JDAECKbG+zA1BRIbwJdaTxn7zgPNDq1W7PV
ccbHWWEPtngN0jHcqt3zA449qySI+mTF6idE9y2gXBGaLoZa7stbrwX6Dsh6dDlIurGRBKgFIOUJ
sHE8or+rKvrNb/7CMTS5DeCTCSOZGXbB0U07W9GNpPQS+pkYev6ujudabT2gBYPM1FgYfjtqCsQG
oO7DS3fzxfP8xCMJx8q2oi5CvWCL+3wzwxE9alK+1cE+i7tiyrU6rQXd2t8bHbM/bFss7Que/KmY
RziG16xFLrt9gSts4sbclcGYSzwcVIKoMZ6Wmk9pO9U7kpulMADurXshjwIgsu7DHE7Cei6wY6Bb
LgIZqwBZJBnYI6sWmcUSUI3nj5/TbflPZCfo9f5F87RWPe2TjIX70J12ks/TKcr3vbkxKG9tvxSj
7r6ZgC/6hu9xG71ZGaPtayrjuAbUD72lL0zlCVchHFuO2zoy3VLxzMh8ZACXJn+ZdV16Pz8aXUL3
R4ZmyQBwY13wrDBrDKjtYtA/F2g/P3fpin08es+Ktg4CtI5EDV4yAKHGaHCz1bCNLxyDJ8wgcgx5
rNC7QdchBvxpyeltzIch/LIaApMoaRkCv1tZtH/SXZjiq9H7SD3XzTFwhj447PIgMhHn2qamp+g0
2NAQ5Oli3VTpznfVWzHIk+0BPBfbXBx3AejN8wf8iVMVOVYs8gT4837ds9EWyIm3sk7FYOoXnMRT
ozvGKUhYBkih7VlNK32gE6mBU++o56FybBPPkg5QvG7PKN6NQICSj23BX4r0npq6Y25EmJavTbFn
hdym13ZrQ9yffUlqz3Pj3JxlDRQoG7Y9C3Kd3NJ5RVWCxTzz2lbuWDMzc2QmNOxlU075YWFyTEdN
Kr+5X7BBj605RiNmPANxlgUT0vKKWYBmlXypCP/Eyn8vOj7yRHUYDOGSj3vWk6o5j0lbHOaI7+fn
V+ZyL/7kvuSOvV6qqvtOgiVbgugvvAsVujMnZdpsWqTwc9UXWsDH68NmObe1ypeMwXDfJ1NXnwjv
1AvYoqfW5/L3R+sztYhV0Ka1ZB2PxC3y9/aIFLinu3ERS2TSTR7vtc3QnMVfVY2WSPE3nlN3LBY3
aa4UYVPWd3VOAMmi40GWqyqPz2/uU0vjGG2UFyPaWZCHMW213qmpmO5tnr9Y9n7i6Dgmi/xoMBNb
T+fBFsv4gaH9tfklGmJR+p2b77irRzurSDX3xUxXxGx2PygTfdoS1Hm81oY5RhvVgeJxnM+nvkG3
MRstTfsErTB+ozv3L2D2nOY1kOqmDT4NFAFYm6y537Yyx2YV2gqCYBT/nTqnPUVTkfCdumutUYzO
sJLMp2RB0hisCTQd/RfGsVYVziZvRoy+1kl5sLFCT6ygteeyOxdsyaMYdcoQo3P6V1/x5lxUhWfq
iTnWqkBJjQYdDJ7sVgMOjjaGUonVLzb4jgt9dNjXicm82dR8iqZ8SVcCsA8x+eR3RTHHVjUwHm3H
QgsU/96mS1n9Zeud+K06dW7XcR8m05WLPWlVgtSCR5+CeaSegzt2GubRwLYymE6yD9vjuFafR7uP
noM7Zoqe+rVGJGxPtUjQBlFXTWoHKj1Hd+xUMnStVUGCqSeWvB5RHnmby6LxK1G5qNPVcnSgYeRs
JyBET/c2FtExmIJ49Dsz1DFV2q+JRgPSnG1cA8oaMBNlZqHTVy8XSR1bJVVOh27VuFnzsblL6pFc
uss3v2CY0uuowA65YQUATdmUsD9ITd+NnL3zm7hzq4Jyodbod5myqgzewD1+2qj0zK99R8I98gJJ
VWlJWjll9VLGR1tGD51CX7XXxIljp60agyGJrc2CaqoOTS3vJe1Dv8PuQkRQFl7MuMbBqW3WPyuw
UdBIv/Kbt2OlcbWAk6IOtgzDjlO60xGYkw2MRX6u9ztu7NGiz0VkS8WHKQM6K/ydT/AD6VjtxC/S
cGFntm9o2OToDNXdsIN4R34p0cznueyOkeZx1cu5Qi9AtA3bQWuDqauXKq+XQX7yOLiAAR6H1kkr
eGUCPWUg+0peo5GZvG6C3Hz021bHROlEpwEAJhzHMi9TppffwfHhuaWOje68S+q8VDYbItCQkHj9
1PSxXw72ewbw0XHhC1+XimHsoB4fuN1eR3x8AfH6xIK7kFr0fuTFxIrpFOZBcAjq/L7aQ8/8QOjc
pIQYI/eABie0sPyiN/kpBjzJz7WEjokG4MeAN8eaNGX7Dui5c65LP08eOrcoBzKVrUh6n7p9vhkW
CqCZ3w0aOpGu2aJJoDnOZkIX93G3Zu2Q+9VBQ8csqwagfpBMBSejf91n9LrL37yMJnRMsknqwezo
+zvxUqETJHkX78LPT4WOPdoeHSPbIqZsG2vysG8TzWrLxqPfxB2LZG2+tugsnrIxQK2ftuomyZPf
/cZ2olvVVGMEpungFKFlEyA08ZmDVsHLw/4Lb4aD3fdNiCu5rATIA0ceHNHCNXsZDuRFrl1sDDjh
xKM5OPXiw9AdYyAxfNbkXw1QZVH2vC9BsmFjoC2WC5KZ9OLBb3DHJhcUyLetRV8DKQ24jFB871k9
eZ0U9JtcL8lgbaiCBoPHTfSWWfO14tvguSqOXUKyYgv7OBnBxYCWXIy92tl3bMc0yVIB4r0SpI3R
fnhv46K+6/kqPFfFsc5y5HODeBYHBe0Q6R7Wv4IIzCvA4oljm2ti+aISWP7KtgkYVZ6LDrjjnVRe
roW7PBFm0TwH3mjKCm4+B8v8EcWHX72OogvWmhkLB8GwLtYWFyo8VaUsptIrjkBCyDmL5SyRj14x
8XV9a7vwbp17TwuNnTuz1hKg75KNWazY6waAQ5DLyZeaHi4H+t+hG3cBULYYgLm085SFpnkHNsFD
PZReQQp6ZZ01iYIWvdboTKU0oodFk+FAeP3NbzsdA91QURiBwB+BAABl1bjeVTL64De0Y5/rAJq2
mAYDGKyaJW062Z9bXftBF9Brdr0qXbS0yQx8TYYSEji/9u6NZKNfXR5UK9eDW0NHVYIfKOuAT2nS
0Q7Bq2AOt/d+K+Pcn0vA4BW5xY7O258jIrh1jL94De0ikCZcPKUR3ZgpUbxfjbkF05XfOXTBR3Me
K1E3fMj2GYQp81LQY9C0X/3m7RgniDjycVgV2q9Lc1B8e6Pjl8LOi538xDRdmBHI2WgzGzlkpZ4j
mw5S1K/RGLymS03tdvCbv2Ok4D9eW9VFoK2o2B9NyT8GRj34De2Y6ApIYiNkPsD+5/FmHgeSkpn7
lerQ4HJ91AsK4qqBUUyck496DtqUB+Y3v5k7NlqCLEsNYTlmEa34ctoZ2kdSUFWU6uj3AcdOeVkU
sY0bHMk1eFdp+lD1fm9xtPlfr0tTRT0ezBg635J3U1j9kjPhVYbiLqioibdc9/M2ZCzXNAtiOr0j
oB/2guKiTfx64hSkahGIzDDxcN9AHdpnIAP3Q3ShD/96cA26nmkdyyFrZ3QCh7M8o2XGLzuMrofr
waeBW8sTLDnc46t5o6+aaPWzIRemlCxFY+u+GDKZF20q9+1VMoCCzesUulCkBKckXKkaMtLNbxnp
74dw8py3Y51DheqEAHlaNor4Y0WGd43qvR5xoFG4Xu185VoVBr1lAiuTJkCJp/2mYz9/6MKFJnDT
BHWX9KjblGilpuqdDRK/ENSF04ch3llgNeqzomK6ThckKk42DITfwrhQpLpOABurN9hNsulDbIV4
31Th7rejLhRpriORAwzXg2tzoAcy8je4Sf2q59yFIdmgjbto7XBcuoSHCr52A4FLGiez8srhoMJ/
fWqAnw2TAjwYWVGU6NVskTzL8pz3fnUE7sKNNmVtPOjcZHEAtk5Q6xr9zSZy8Xw0uoAjomnIlyQw
2VBu41EXok6xQtHZyxO4vaxSrmsczqHJbCMoSEcA/Aa7jad/jByLnRp0kYwMQgsjB31nSnaqPqtt
Bcuj3+yd23StBjEsK9amK2uQuExgvW2I353n9p03tANniwTtytDG5mYbw/G8NF154zVzF280s5lt
pllMVufR/hGU1MUNOkzNS12pHIf7JxGkCzhi8JMR3bCtSZv341naGARyUd6JlxqTn/qAc62iGKe6
FmR6eG+My+0wxL+WPdhc/RbHMVmpNAUIeDCZ5NOHqhjfLWr64De0E/UW+bawpin6DFoCf7TdAuJz
tFv7HccLO9TjakiPlHkcWG0yNtTxH2iSXm+sguCI39Sdm3UKg3XbWdRlsNQkFYC+pMEWyJPf6I6p
DluAGn2D0SN0sKcRMXeqfQnF9D0E/dlxdOy0r1bA62LaZbNQYNpHtbiGs5EgGjwUOinUjTbb8sHq
sQE1EQtENpVlHz2gxU32b5H/G4cPYDwWNwp1ye6mVi0XqWwqJOOLtY9DqCLwuh9+XXoa2EO49a36
3JVl0IPIcq4oeKSQaz9JY1d7bAiyZAfQPE/rLYgX4zqjci35bd6BzQDNz8gm/B4A2budCatHeWRy
xZhLU037uegTsHKEDd3tWUM2YUevt2btH6vkPH87cRHUX0YS9X0W7zSZs2HF7z2aaY9AkTBHYBmR
lKiD2GRhbwq0Iyf3Im7RuBX2O/0AddAlncEKemuqcdizsEviDTQ6zcyP88CL6DTLhSOF3ZQzPxSN
0R3i2SQBPcgAPoxUd9VAXi1tXie3DfgYebZjtaG0wdR8u+8BxFDaOeRHDpKRPa3zId8/NKTupF8U
4qJf+hZcmd2edBkIV4I0ovV9uRd+XSsg2rk2rRA/DQSzpsu2zuTQFwmXOlv7sPKM/r7zGzwq2emV
W6Es6zIRlR1SVgE0d1ji5xdcmBrjIN5RfWOyUui/cq4+5LLyXPT4el3A5b2uDcW8I5tnY9Lc5RHx
88Iu9VQ0A1ZDkP7KIEu7pnmQqDRpwJXm5W9ciNoQFkwoVByzgtZ1uqr+m6gHv4iVOU6+Rm/u3Mqw
y+xmzRu0f0EYgk3azw8zx8uXogptS8WYFYPi9xzBN/oK7PTJb10cLz/oYp5nM3eZAnXfb5BI2VGJ
aOOXOEyeuLddmBdpK7IHDJsqCg1mdzq2FuxgQaT6o9f8XajXpPslD8qpy1Co+rYYfhcFo1/LBcjb
rg+7scsw95vssjJMgCObRgm+CpbU9Jvf3J2gZgYfFoMChcmaPtnjFDyiDDX2mIJU1O8DTmCzmLYh
4QqGdBaCTMjKBQzkVeUZILh4LyOXvN4LXOGo0QwHIMrEwQRLmPnN3Tn2S4he5qhqO3SiNs2dYHME
Bvh+EH74fu6ivca6LQBk6uDJIIdxV7Ys/ANv2s0vFeyiveSqQU00Il5FKmu9zXluMxAbS89D79xO
lDU2qS4OHjRExWFc+iK1k9aep8ZJ7JGBgDMd72SIcrTsrxJo8792bbUf8pO7oC9QYbV1WSuTRQKq
HbcqackhzEES/kLt8InGN+4Cv9APCnKzBtpNewPymgejqrk75LKl5ghRlOABHWFvgiBp6iOiOJUc
igSP0XMZRFHnt/vEMWw00orQ1og/l60H13WgaxBQ6LI1jd8z2gWIQdltx5vl4pnyieSvdFWAO2Hr
tyn0y065ELE9tANaUmmbgTy1gljIUi88rRWfPWMU4pg3yJv10FJ8YLMUsOUdMjBN8NXLdbgosWbS
25TYvYXkUjseQLn/bZ8i34nT60uh6HcygkVPZ4htzw1Vd5SOfikAlylUB0FYLGAQySbQgR9UwFFq
WPb3foviWPVUNkNBlrnNcjvEJ1uCAl9HledV6eLEFll1oIkd2qwa1uALmDfZ1wHk8H6PRRcoNta8
7XhLoJ2pizdy3l81ffECl8vlvP3kqejixIoVdUYxdG02rrS8Iw1Ev6CMsfhdYi5UbIFAWTwrpjOm
YrBBgV21vyulbUs/M3UBYxBv6phoQ53JqK0PfRLfKE42v3vAhYwNpi2KPKnaDGTlyz1YH0G6N9Xz
u+fP4yU4/tnCO4FnsqhtXgju92bnPaLmcCyglBSSrjsJPIxarxgLfI7X5gp6jjw309BAA09+wUP9
tZblx+d/wc+PDijbr4cGKS5Kg2jHQodgl9fQw7PzXwvr/SpJzCVgrBArt2XeNlli4hzZnTG+1SKy
XibFQHZ1lTvqaG3XfcDk86LEG59Qk4Lzwc8dMBe/k4hdbtGIZAe4pAnUSyoUf0F43daz12MRHADX
04/nJTcII5qMlGI7xmBgfAue59zLVyIBfT36D/7sghQrdKTA0f6GUhNZr9lzF9gYbyKPBYMWRGgZ
tEZwiuqLvw/B6ehzNLlLEayDauznpILDjOgHO4XvC5J7HRywml+vDShJQOY7YO5I+UKbFMKL4PUj
rZfPAfX89eg/+KeJHHKQWwbmQ1tGfi12oHq7Hr2pWmJDOjaXwCB+ZzSLsqmKYq9FZy7Du0HKK8z1
xWBLpMq6Pn4X8KLyXBjnKWe3qd0sRGkAWwGv2AEdsf2nvUm6+YXxvycr/u2PmQssE5zRVQgLbyZs
BKlEQloLkca5H854iFl6BpeeGI991EBQJ9jwKrg3su71J0oYP1tB91vJgy1KIVdsQX8A/RX1i26j
lR40OM+rw16U+f6ly7fKnluDO/dgo3r9yjTnr2ZTT3dbVc5nlkP/NdlBUlGmoa74/lAS9Le8Uxci
iYe2AsXyRb+QQxFYDwvE3YD8fFObMtiP+K/H6jWjeTd7BZLMBcT9oHkuclK/mROV3FNoB/ldsMyF
xIHTMuqQHVUZXSFHR/t3CSne+jgA5kLi8NbcdAChpIztwNk2lN/SbnyJ6eJy5n52VJyLz9pAF/u4
gpHTgEzjdoB86nJMNqAejgteCMUtGIWb8pPfL3HiBNInEaQJIpUFJhDQDFya826a4le/0em1Ryi3
3OKNyFQ2d7w8Bvn+carpS+t0iTF+tk7OM52ERWXVYFUmGlt9AKqaQ1GwWD+vNQleSA4+9QnHG/8g
+B5XpgRkRvuhr9J5QLL9tlrQ0fbCo/qJLXdRcz94motqUupso5UAHRY0p0rvMT0A0e2XVQK/7fWO
FCVyJ/nQYNFaGgDoJj7CEXnGVNJ5mAcgHEEioFUZQTluYst5YuT98yfpiZ1wQXQ/WPkVtAmm2wSq
0OcuTlD3F8XchF7oAubyZf/QPcgvTH/odS9+T3rp19rKXK6ucYPoa7UNdSZlNJ2BuY7TvCR+jxWw
nl/v7FwhFcksKbOKx/xs5k0f46Tyescx6RjyDxEGMld338UXOuG55o4ZX8sK5El/1hX1eh9CIuR6
STYwlVVjApJ1VdFXF4b1Xvhl8f5WSnxUYQKs8EKEC75yCOz1d/U4TlkQsQ/PH/aLp/+JZ3MhdD/E
VRQpxpO5CHxsScPPfqM7Vgr9nyGPwqDKZAWZQ6BeP/bF5kcOy1wMXSFkEczUVlmz0eZsk6m9CfvG
D4rKXBhdsK2oG+qhyipo5B1NGd9DOHY8+a2Lc+/+kAuYNK/WM6XLr2ZQyi+pyIRjn2WXTH3DoXzQ
zv0b1XRZPXR+l7gLpXM0cFrbhlCHiV7wvE8dRsc+f/Djq/EixwhyfCPAKOy35o6F7iDpGefJVOha
gshRC7GVPs2HNvEDpIGQ+toD/CDaj3m3Q1C8yYdX3aoqvz5ICDpcj/+DnFwvkGdS7/4hJX+SMvp7
qvYnTsDF0nGxE5BTFWVGtoDNr8JKR2gwKkC2+QCmpC6rIG7KUtnPOjoJZNeWQz+paAaFpRHbubdJ
2J92Qwr6WcsIMt95zCrplYFnLsMP2O/Zjqh4PFVyHc5RPoH0N1B+dTXmAm/YQtneqGk8sUWXQFlM
D2ipXP1OnEvwY5ceNDlyG0+bhJKSCtVwkMrTP3HnmoyUFQHr5/G0a1A0LFDmDgfoX3nZCncMMdiN
7vOG2VMBxPwxWaBYCo0Gv4IdcyETO6DPeTXDmUpDv4yafdAl9WupZC5iotR4sXeG21MFFW1oz9D8
lOeAznitiwsJ/SFWAd7TqbitWBjbUzmqsT36feASkz66639oQaxDKXBbbrVtD2UkCPvq9wHn5hkm
Zfc5N/Zku9KcdAzdB5Nwr7LHv8SU8H6ImGHanqAcoQ8LdEkPmksvsD+Edq6XxsiZj/mEwWcLpu9m
5H3aNdQPcAqxvevReWlBzWAhRENrYg5MkTpFxvaL36I7V0+n4hj6xPl0mmkJ1fYgQDfhykO/IMtF
hELdW4U8YNOpA8wr7dRQvGkkm37zmrsLCOWLMYyIfjoFCUpwXO3Fqdoiv4VxCeiqYSEdUAHTCYym
9G2rV/VFhLv0i8ldAro9Kpd+snCRbQshNPCcg56IQyX3+YV54pnosnw1RPVUdSw+i7yJ5rel1VAS
2gRthjMfDG7B5z/zREzkgqnymeWc1HBoEY0hkkej4tCu1g9MxVwwlSlzCVEWjF4UbQVBpBrwj277
02/qjjNTNXYAeMbhZC5SZNA2qo+jzv18jQumSgwPJw0dy9Os7HzWZUxTMAzvfs6GORH0pvHc2Idl
OE3l3pzJqH7dSR15bqnjyfZS872DmNvJxKU86GatD4Ck+sH+UdW/9mSt3OQk49ycAh0Mh3o3bcrM
5sfchA7o69GhQtwMBGrXEN/py8Me6eYQg1re7/pzMWCWbEg5D0V8rut2f9hDs/5Wh+1LXO9PmJKL
AsvZshALsPIpGgj6US4+3lDyUo7wqdGdty4UbpCu3pLkzAOkzufga9e0D16GRC+5vEdRgYImag6B
C3kGz1fepPMOgN9UruPvfsM7dkqajnV7OCTnyOgWGNYamtT3gjRt7GerLt2XgbQXVL5Mck5GktYJ
vWtCz8vPBX+BiKufNuiXnzVHKHzBQ7R+gETmIr8goFDlpeyTM6TpqlRBxe/Ay3h54fp46rg4ZvpD
rxgsXDf/d0LFTw3t2GgYAVTELgLFAvCHizgxb6t3XkflX5CvfySkqbCaZNw06LsuF21/9RvfeeS2
hvR1Yzt55h1ZwXHOR353adV7iU/wYow/eem6eK4qUIbHSy7O2gQQM83nWb8ZZVgUJ/Spyvy20FCd
ez3t+f9R/Hrmcf39dfCzjzrmKzeat3PdN3gprEu7HkhTNdSclILVNecyX1WT9p2Gnkzash53+1pv
Qytvu8aIUp/xsK4VpJV3NW+3UFwO8s+MLYDdtSEgrSpl9bYvS4oHj+nvlSCxeQ1x0oWI2zXgsoeG
4t4UQZWGLKkgxDZM0uBR1AlsXRolfVd8NkOpLUm5kpW+ZbsC3fNxw4NeFsetn5fhoDZWrx9AIbdA
YTRS0OABzfdWrSPEmBMbCA5NOXC3qxtilAA3vUbOctIp+gqgiQwGVNm1vxqqETvWso6h/6nx58H2
fD5CqREUphYrpA7zvNAq2ze7QnVJhWxsP3dI2kqbrgMJyZJGsSjKT23FVfJVFxZKPGjk3LtBp2D7
qrffLyC9G7PrbU1bkEaNh2WpRqKOEo2T+WlHyYaeApqv4yGPcdKSwyyWLdJHOu9R+IrEs0jOVWR3
jb6wvttuQOPfHqQws3hdh7aKj2HFFnYopegRhcU6PsYaBLhQuitE3wK/WXdlcZwSPLHkARmStegw
s74dZAoRQIm+kbnKci4RNsKXCG3vsFtdWaVDjMguTUjQaMj/tvSPftLiuGz7Kr/aat/Y2QxdpN7s
A5SUfyt7KuUbNuWM3e95Gdvi2OzoUeHnZLEEjAi7kLZ5jQ6NGPtlqspgckW4J4U9h2A1RjSmw25X
N5tg6/Klj3UFHfFuhtL2rUQHUvJAIOA5boem5VASK+LgQgPZ2KZdAnSx7ABtgUFH2tmeNuxl193S
CIk0eitUG5epEio5C1VCdVasix7wgN2Ccb5ElvP4KrSjOi0DfNQb0RW2flhXWrQxjkNH7blm0bge
uqLkFCyx5dYckeMo40/xxNruVbLuSAKVUWghVb2YCRrBaRJHkiKCmibG2AES06x+R1Q8iDMIVtT6
qqULQVY7nMCttqPMPM0FerfCbRQTkJwCJGthY7/QJkDPzDBLbj7ISJMY2uZjVH9BHiRuYDSad/Nx
rKNufKNsWIgHwLN6fa43iTahpAu76G6PAqruSbmo/c+qbTqLjpkh6PibHkZbnlpTbvTWaFL3H8tA
xyGFe1OFiKDAyBPzJpwmRb7wOs/jLc2LRBfZssxzdBcOFe9+rxexRQdw3ofoRi8WRhJQO0ei+ZpP
S6GKVPUq/hIx0ZuP6C7fywNUtXF3oVWi214D1TfG+J+7gH/t6mHebzU12/ag9pAQSKnDkr7WHMf8
plD0fzj7kuXKcSzLX0mLdTEbHAAQZhW5IPlGzZJLcteG5u6SkwQnEAAJgl9f50Vmd2d4V0S1hWVu
FHK9gQSBe889w3ZrBan2JJpSeZfqmbMdSRtVP05tvW73DhqJKMAkGr4BaXFxImYn4+ww/GgRn11f
STbF/jCOsisPUyRCfTVPyI3NZRIn0ZeURYl4D11b3kJCHpwxRtq+Qx3SZ9LRqqhgEBQUa7Ol7oyQ
h2U7wjwo/tyJJhGF6qB0fOC+7obbsCqb8OTGZva7YKrlehReE3bgbG3JK0HSZ/lYT6JSufI2gCei
JMJAh9IzBPktm6H6xpDNklOsmOqekaxRjnczFbzek7odeWFXuWDvdDTV9R786VDfTGJh3zt4Agx5
icROd1evRGMrqcfV7Rgdra4KkoxsuWolDI73ZTUrKFQCvlSf6tSI5NQrpVhmy0Czb3UtpMqrwbRW
ZukQlgThQEm8nkzXG1tYF5GgsGaIwmzoNqe+xFbgExSUVCHsDFd8iiaojM7kGphhN1wseTIY2m3t
7eQgTNtRpd1bRLxjyD+rBvhyIgqC3aBcqj5KPMI8l10d9TnrHR1f/YR8Rhgc9T0sz7K43bbm5CxU
sp888ul0mdWT5Sv2+025ccykxTHtMkTLLua7m5eYviAjQ+NAaOFWIx47vMrlRio76x1CHJHwvhsc
0k0zaD8HeuhEKNrdslRx57MqtOl25VZTAcFcEf0kjqT0qBGhZKvrk0EMWpBtummCJ0ZbHRV1wmYk
xpIlFAX32yZfNNlieVzs5sRh7segRMBpVPrrGOla9yQ0snkCihz5Nmu6zoo9XOMrexYtOphbDxQi
3Sdtg/POliWdwPNO6vW6r4hs83HToc0TpXkA3YI2ZeOgnttM+GhJ20OMMSTW3jcr4dFxxMhY3o5w
umumbPEJEm7gK44wey3CUxgLY++omYLha9SsaXfNuthgjQ1139XvcZduWAk9LNvMbqzSZtnjm61y
R/s2Mc+sXerybKpGxieIaFl3M+sIoVg7bEcdK5BlFJcfG6yS4WluakmPZmyqCtxmiJiwRlL4KJ1r
ab06KtnH4AxH4BCTnVFIPcwW64foCe+Zvixhbde3Dqbx0KSLqEZA8wT7xSoPsD+VSO1W65OMmI2P
qVDQutBhAFm1X3Qa5F7NFplvenQrBCQLD3MMFNL6Hh+X0rvV+ao5BkOUzE3WlG0wf+r7bRzOoO7W
G6qiYVu/49QwQwuPVELCh8ukJiZ5XE98u9mISJC7rvvNl6cUodYCRrMMiWDXDhvydIf0C6NPxNbC
HlfLBL2c3GsNT4AKl9GYzAo85QR+ddU2V/nUOO8fYrF2IkPSWMr2POmxv2Vt7KS+IzZMp6+bNiqR
WYfwc3rySUzW2wSrv/4szYqMGHzJeCzvWkDj7jFtcRHPWyT1WgzxTO0R53+gKlzcqF92buPcVSie
7LjhZupq2S+uDfpnHnrb3yNpfV3OkwQD704uTd3kiaxH83lVPKJf+oj7tM/gEEYGhSsVd9X7AM9U
cg/X+kR8HeG80r5N3dRG6K9giBjnvYwkP/bcGo/6rSYIu86mYPY4CrsVxweqPVjGsoAuCB6GScPo
QRvlwTe4yvskJzjU5Wmbp/YTn7G+dy1xHcubdcP8pedD8koj8CLy2KelzNGLJhyRhSOfD1GH8Osl
i1fST7eqnmpIjkPYd+6VkN14E/fKBcjYhgLrqxwnu+5p2CTLXTgQDf9dzFnFpyQdXL1fOiTl3E9R
HX9ODVJeCpOUgALSJrDs1g+qREq3li66w/wpHh67lpvtKpTDNGLDTPBsgBYPolp6aGGiqm/KvhNq
zdMkqe49mC9BvrKmXx7N5iYIoqF7jVwOG8OyzREP3Ki71gBjyuq+6qZd7KGr7faQqIW7tIyHodCk
jHAnmroLb5JZXZJcmbkUPynYvnWVi3ShUdHPEwnnrN1W/yrTDq5J2dZD+PdJQdwWv1SGjdd6mFFx
5XUlgzyUcIXzOXb3JeOOxfY1mmF7cKyYUzjv+UpQpscQ8Cqb+TgJ7KnBRyAP8zhYniNoeypaX8/D
oV3xqH+hRLtlH/G2C5FMomF5FiZNnBZxByZmZuJw2wscRs5mmpbS3M6gTokh71nPu+vWlP4u9ZcA
1E1v8ZVJ05bsUiTYrDhGUXIUekPe+IvrlqA6tWyg9tPcleHyOOg5zAFLT9Gb70q35KWrkyPKNcRa
tlDRjJi6ZXqV9bG2CsYaCXTVOGzjfNusUNmIMCRWWE2iY4V64NX1PL6qYKXUZ0zIyeR1GLEKnq0q
ysYxkeycusq/J1D/yJsIj05/2KTZxM0URPqeOFi8ogWK7XXF0mhD7RQm+n4JFJjkduU5g4z8BhA6
xNpIF43hRg4l743XafQ8uqDatZFkbdb3q71a2k7cVQ4O+kWLZZzTdXZ5VJfNEdHr4npmlT9X4dq9
+WqRTyLudN4Q9tBR3T9TKQaBgHllQDuZu7adspU0wpmsQrXr9x7xbv7Ilqh6YeGqzlb6VBRYzizv
Ebe97gct6dmDvpg8uyDlT1XnwFooIjvw4Fj2fHFdVmLlppDJ+5q8N7b09plSxny2NP2agsoZLs4X
zcUP4NT5dYNtSqpDr5CsO00mQh/TxKMsKraEwXkJEwiaIZ925KzrsBS3JliN3S/Q+ZOXjXURy4VP
Fns1J4pWb6hc+2lHbRRER9WoJrmW69IhjbUali5zodLpSzx3itxN8RyrHWwa/ABLAsPq0xgsovsS
1MgSljn1DW0KYmRts5k2KEWFnXmT6w41isvKGHniXeapn5vva0rj6XpZx2X7hlAqh3KotinF6u7w
bFGEw0MwJHdw0Smjg067Rj6sIXr/3Tgkcb+3HPtOgY6m4qepigDJTryP4juIaiS9An82DotQrFSc
Qsim1h8N9AH93WxsqkjuRbXUZzOZmLAMhiIpJlKbjDr/gNaYR+iCQdncrozpDPaFeuAuvFE9Hsmn
Fs2q+9LSVpySEVOJ2PSOI2w+boO3HjMttMnrSJFSCBC6zrE6UCxl5bxgdzd6Xoulr3T6yqDpty+p
w97+2ZhJRLKgfApwXpUDDZYn5ja5VlkQRTzOrC11n4sy7qJbs6Wr/5FA7t+96wZqtl0qEfX36Lt6
FTAcoKO+R8YzbdfdsMDd9SCaIBrvGZ4y7Igk1lOK7aleOcDCeoB8/yhjUrtj3NYt6Ytk0ygBso4x
VsEGfkT/gYpPTrlf1KUWQYyLdQ/Sal25g2irVr90JhiX/SgDK07GiJnijm3C6WKKunV5awWFFonV
rTBv1rXTslcV6YNctHN41UxVyfIJs0d77aVMKtwS3kAMaICy51otE4rSicFO5mXe4JILI4CpvB6r
aDq4ck0fpzjyFtUB3TZ157uuyzTyNDOIwqo5Rr5YKse9dyn1eYUI0vm0xQYNWi1mnhnrxkBldrbO
PPDQ8frHgmiTdLe1hNQFc5dzNasMMiaOJcrs6wbWXFh1cdjH51Ii0/RKVX58FSkuQhFbm4RdRppg
Cl9Mt8kAVaonwWHdsK4PqANCfrY4AuRX5+LmgBYgFF9GWJzzOqeiIs2jWmhdwxI67FkzZ1hkNM5T
7Koe3VwA4dzG67C5TaUjW67xwD+3Ie13XdmwAY9aOZ9HAgTjBnhFTO/TYWXt2S1afAMS8xmlh40Y
IlUYKOAjMmKixyGqyjf4WcimqHpsio3U7Y21BJXZBoMRd+p4Wudq8wgcAYOeHBuu4+5msrHpbnQ5
m6tZqVF+RYKz/Qim1phinQPcxmTlL+2cXIY7bYqzfU3cC0MtYYtqm1Crg9dk16xzvN9DrCxYJpWr
UBuAtrAg7C5dgddiJzTAd6y8dSD0IyIxvSA9EH7rlxbFWBZRMNBPgNKFuY6ndAruYw4SH0hBfKiW
08Kqyna4KbMnBoruUja7lcSp5DuZsuahmpANvwshFJh+rEvULnlQA7l6g90BEmQ1TU2yG+rIR1ia
TfSkG/QjBz9Ik0USG6jKllkjxa6K5vp7SnsTvcRurpfc9yZEt8OTblkzuaRd8KVpwvJbeilNjukK
lfmzZ+rDtp1NUO6KKUQx2yftfBTIBElzwXT/MVI8slmKyI4csSAk2XUiSX8D/9p4w0Xw6Q7+lmWC
Vgah6vs14o5/VlUgoD9uRAlkMBA9nJGMghVHgaKkd2fKxvF7161xiH0uqeXwAqc2IfNI1y4+Spv4
d7TO1Xalu6j86OtuExQB3X6JrvvaJdNzUBJGP0JEZtB3tJY1kBFZ0Wsx6hZ7B6l9HlXh5O61KLmC
1AizpaRiFblvAsaAZqP0IFfUwVB0LxbNomK1G4l3C1vMknX9vD7BEzlMXpUWy0MQJOY1LXn4jHG7
3Q5jCb3FMRjRGK9dvy47lqQw9N3kol5xzdurIWxpvWMSCdnwOEnG01gLMeVUDb3LVFC2n6HUXbOJ
QiejVOLYlV5VcM+ZW2+Y2Op0P5awGNl11K+HCbESh1B15JQgxxh73hCbl1pU1N+paoR6eFng95PR
aS7tk5th8foGDw40Z8a7pP4MaDjmGVs8rkPkpMS2IOIwHlFxcOiPU2Kf65WhSIwBJVQVqgxJA9jD
8i0oNGjwdEfTCriJQ/45ckq43ppDpIh6gf26bB+jdIQIfEUCw2ODD5LFzRKqOce27a3LNLCx+E61
NU/yWOHjPI9j6ca9nEpZ51HClft24bqexqHr+6uV863De7SBeWzDxHV3ccUdCjbfxPs0VcF4BIWS
uwdA0cMO28Qw7DWl0hRRvXQhfMmR3LobHcEmAh+YM+4F4IhS0VGh3XYgLS/e20cT1HLJBzqH3TkI
ln47wH5sew8oYpOyDtGQV9U2rnh8yhSXo3Vk14pkzqfJunM8hig462a48qqmj2AvT1AIwN8ROAeM
GuKEl5+DDXTyfQqFjH8GzrQuOIgMCd9tqquIIwOn3QAPmG5Ww2nAhKJ5q7fJ9DnuFATvaVujMseO
2S19Xk+lgn85zIvEDSzSUp4Lx9R8WsdkQlw9crORXVouLG2ygML2cO9EfHkIA7lUFdIVJ3RM2Hza
Qm5GuJOFKENk0bjaDo8x5l0fM87O8qS0JVWxwFGbNNnQR0n4Miao0IrFCV3nPFkYtD6W+falYXB6
KQj85pvPHQCNJOuHua6fybph96iCgIVnxsOe5r2IuqgYgYYt+TgsgLYy6PLWqpDQcZG7RE06fUAg
SLNkHi7Qajf7ko6Zj7YEFYxQof0eaKQqZBRSD/GALJuFH2qvHP/O8KXcq0GByq6pCTueJx1vo/uu
cgSmyQpNQd2Yvn/0EPC3+0ga0vuMQmy/AMCsh61Co24BOWBRrygKkWteTgijFqa8qUfSbKcwIetw
IxRw2oyp2MEvXdX6g9C4qW+jrRxABSlJOxzndAmie4h4OcMzpePNYf4zeLVHfqPTe5CLVJ9jqkLn
b4PrTYCAxM2mp6ADnPKZdP3lDjE0PkWohZLQ/aEB629n4Idt3lazNXMGz6EwuiIsomguqQ2GYwOe
xfLNRV6YomSstAeH/doVmirV7ro4TqciQiKNbbNJ977eoxvsxFWZwH4N5MvuEg+GtLSxkHUj1nNp
CU9z6EQqQQs4MRA8UE3ZY56NUehYndmyxhtqFquSI0CCEdP6CbVdBhw2bLOgtZssJiyDbp+sczh9
8Ia2XYDeIUxsnFUxTEx+qLbvoOdqMSGzOEx71IlJHnRaHFikIr+e2jCN0xd4Rvf22qG1XxW+eJPI
BDXIGo93lDfd+hrg24ggq0Mbj/P+4maNhnRJtyW5nS8d9FUZjO2K4gt8WRhM+bKq7nwfGjQreo4Z
HvCkBWbFc8xaKLpVYnoxfG88umvQqTzvyYe2SzChGOAUDdNoIbddkFYz6rMR45zeUWweFUrFVG7v
bY1pxJuUbmz3SZUMgcPVVfGAsGSmm4cE5T6e5UjwhO4VSqPpo1YJdWlmQwG3ZseTOf0UAp9rEP8C
/N9+EzqZ2xcVzGNwP1YY+Dwsl0YVjgU+7aKcLxN8jSGbU7o71T3mXlgkiYr3mqPxYTvkKM7TFUSp
FXX5hhnSiE630bzhBaHMpldOYZJ0jeo6ZdcoixLzNHSy1WdexW48BTPCzN9iQkqSs0vNtp/HPpiz
jkcuuB4JDJ4egtnMDfY42NDnApXxsPNzn+rbxlguip4SvnzaOrDI8pQYDHmauBtgMaOrwH5PmVHl
p9gZbP4D8g3ksp2DDfnaKFnha9idnKpij3oKGdR5yFc7H/04iPiogbK7Q9eyjbwAVaT03LSYBOaK
9CAA7CDdJDotsDY3YFsXRC3YTzqK5jxmvQwyPHM3TBmfYNZIYY+xJyGo1dO+CULMe9iAEY/POkSs
pZmfVkULXXOaHO06i+2okjUgAyzdIjcLYHoVstLGWYTymobamBdq4Kr+watk7q9R2DZ839F6Fk/O
YTRTdFUqK6gTQU69b4ahY1dl1Q3tk0txYa58lLbmTGZE6tws+KwRIsf9Ru/lzPvqvEot2mc0ek25
5GRGtTwVckx7wNYJPNoaks94mFWQw/uDeVVgDshTsW9BDb5YGPMvcDAkJsyFgAFmv+sxCjLzCQWY
xoW1XCp9j3N6APAMMg5GaajdhH+KcdkhrhK0brdnTE/Kdb/gSd6LbePXaKJZcBUFpUBhxwjc66LL
GC+NDkQypg6t5BO93roRItcw8qP94ppZwLSinWEdsreVWn2dhY5RjhlnBNIVmUy65AzAhnnrF1jW
34+wXTDR/mL1GgLTWCnS11O9iUXmoneuLXyvL4ly1rBbqstkOCUQl7vjNKg5LqrFq+E6MvCpAURK
MG8dvebzvgGIH2aBCcNgjxmlbYourQTaTjUZhQop7pv468oR835VbpVcH2HJkFhg73Wpt/d4oHH1
TbUj6U4khtTxRID6TjcQaGv7qYMlNWqbgSbrdZgExv/wE5Xq2vsqMAD41ijNN4FyJAO+PGO20hgD
st9kk5uZ9Mbl1iM49KTxEWQxb1HU5uDGM8zMk+TCaFzSvQCZ9LZbkAz8TFxbmRttt3A4c8TebZe7
zUsIhoT1iG43PJHfAPMFcSFpGigDs1b0M7kZsNr7HSrrFgckNtJLm++0cnci0Euc+yAINR6WdNKQ
Syh6uYJCAa5CJaGpuDN86QIouxvevM+X8/Gdz1Cqw96AVqdpFD7MCPa77inWOrJ49iraTzZTqYHQ
HxATgqJ4TRpSxBENQK+Jq6m8jWpu3R7bKLwQl25olg8rV7Vejxvv6ateZ5ageZnkfPaeb+trynu1
3F08HOOj6ecy62F2M2WoRqsLWK7WBWcuBpj3qfeCn00NpcEtBiU9PBhQG2+AtqYWqBVFcGVC7VcI
V6c0g7AocruVqRaonZ7qR9AkQlREC0KZHyWYjTgXkbEB70axpKV44YoIkHsHgnnWchhKPY02a6D3
S7IxBY8gzjH71vMHgKQK4C0AG2K/Aq3YmiBjFuWrzCh2WQsMsRs9STKY1KPv3K+QhyIcaFgTVn+B
wtrPOpsdQmymQ79Y2sjcTfAPRx1K2ErDQsc1qBzFfxhtYc8b0PSASVVsc1JbxE8GqZ3KHEbJ8XOM
vw6uFldX6iTqC/Zbof1e1WXPTMq7MTJ6B7Rgm8FrDcrg9B/lvJLVm6Q7wqh7XQvC5Dhnm6/pHQZW
w1ywEuLvv8Zg+tlZiPlk6MfBdDsiPsvkE1v+Gp/5Z0Mh2sULxjV43bh5TAFaNPQvSmh+thMaYXgo
yobzPY5JAhBJLOTGYLc2xz9nL/2BYRVGBr8n6gEKiywYaZhMBHj+pnps7FXvghE2gkYrAE7RIhEL
wMUU3a8G0C0aLBmQfAxW3Kc//xAXVtF/xzb6iVhWYUSzNoHm+xFppl3RQEdwA/LglKNew/gRs7j0
9Ofv9Edkqp94ZnoyWGrgFO9hCDDxJ+vHci5UhTq3cDiZ4E4KR5IOVenqh//hCv8Bte1ndyIJfhhO
k4juWYpMDgvbmd0ErPl/+EJ/9Oo/sc8UEv0MrwUFc6T/1urwxaWq/GvSEfITPRRl+tSrqqR7j9iP
rNb+1Mxd/Bdf/CeGmQ1DO4wzo3tg0DsMUpusDIE8/vlt/qOr8hM9tFyXxlLRsH1FAoMzfSmzsMbp
/9de/fKu/8ZtjVoVgx2E6xJtPbx5rUDK5DY+/fmL/8EKJfHvX5zpsHdqlVguNRfRuwGm5HLCfIRc
oTTqVaZmsLGP0JVQ9Zfi+eKfHWHqtHIcNkJ0jzhU+ppM2tzKEPDqn3+h3zbX/+bp/tkPhksfAxaq
kn2fihoItBi8w3AF//vwoWUvCSpv/JchCQd2aJT8JLfmU4iVRo+laeYavUpV75DO+L4uMaKbM8tR
kv3z0/2v35EdzT/+Ez9/HxWa/aq2P/34j09jj///5+Vv/s+/+f1f/OPwMd5+7T/Mz//od3+D1/3X
+xZf7dff/bBDXW79w/yh/eOHmTv72+tXH+PlX/7//vJvH7+9yievPn795et73wwFmh7dfLe//OtX
p/dff4GtUvRvd+jyBv/67eUb/PpL1tRf9f/7Bx9fjf31lzT9O/AbiiYqIlEISTzWuPv47Tfx30Gh
5xED/kIhOrpQRgcknta//hLxv9OIcCbCUEQsAl/hl7+Zcf7tV8nf8RfAVtHT0ZiH2AX/9ze//+ca
+efNwJX4189/G+b+fmwGa/BpfpMD/9+1xJOIpGkchmFCKfLTCMU3/fdHcFpYZwbRxwdVhsknWSVb
Mft6OAPZM8Ui1/mwwB2mbvs1Q02cfml4319HCZ0nTE1A4jwMImSAYJL2VdZ1c4sgcHYTigF8WhxG
tcgMIGKMIzRjr9HmUPk6tFTXZVuPiCSw0wDrSM8OFeheryJm449t5Pa1Bt4G27w4sneMB+s9SSug
oIYEeTKhc3ckjc6rxhRiNm66SswwnpHhi/gXMdgT+gm+FmEUxK8B26LkSlkjr2QnYpM1aTJ8apty
I6e2SYIrIvFGOU3kAqkdWxjoin35vI4S5RsN6BWDN88bThlwDWUAzDifuG9eMDoizyX1TuxRE+O1
43EFVaWT2COrboveRVVilgQC73jG5L3aU5S/txd6COwX0Yxfk14CYNUjMhP6kfdgALBYPwQK7Kes
nxv/AM6b3C8gW9wMadIuGWmRJYyak/bzXWX9/AM84uARE70So5CmdF8VhjmgNgblAgJN4Kfbem0p
2EcEJNV9CU8fhlni0j6YzfsTA+lrP3sgY9kwAQhvXQuS6czHazAw6UmGYQUjngS4ZM+lOEYz1XCP
jH/UtuMTvhZSk8FLS/RRBu00Z6Mgc5qvluDuoo+O2gxNffMGJlIL4gxIpHC0VHvDQ/5ER8L3CNfT
7952TYOrUc6HOZDxd9WG7ktoF3YOlKyuaG3GB5b66Nklg77BQFLSvPaEB1AqEBnskLA49FmbyMrk
XDJ6nitg/F27ijuQbhXyDNuhymHN0589fJ3Bg5cYY2BA9bBRxa8Qou52IZvpWw8k+hMsjuxTQmCR
d4SpGnlotgAdNeaKYGpKuopbgiT3O8UI+Lq8Te0N1Wl8TScenUgYRCBtIon5NJst6rPB4ZICoGj7
YxgI+dBUs4uzVizrdenMU0+28k3ooT0HbZJ84bpnVzzw3bGKdITLNIbiVs+4UBnlQ2rAmZvomA9o
CNEWChmAbDIavu1DsCuGLDVbfDKLgZ1RzEwEfd6iH4ORbYCz5Y64Jiiomt6U6ksAj2NfTADLXqZE
r7kW45lg5oagh3IsqE/ubAsGF6cQVAhbQyCfvJZ1s+vnyOzHkWvkQ/L6OiGpewcM+j0M9HTbM/00
afVDNKbMyxhYpkC7rJTJ7Za4u36qCk5VAnbLhRgUsf3YQD1wV9Ieq54hSYTtHbrnAXCkSbMmWX1m
R7MdVvDbbZbImZ41CNeOxA4bQl/Hhdhsf53yhO3wGC7PA7CKm4CAPIjhB3wIE2AhD5Yh8Rg45sUI
ciNB7bIqWNM3kG3aIbMYjS1YrlX9vR2wJxbYTaJ1N4ISKs7pttb1IZ5xcTJOuwDci9ThQ+KPKMlG
5MCUeBLcHFw7aoG0u5S37008zMAfMbSFio5iWdj1AEA9OZAlIbukmkAA1HxDzAshh75K+ga8tLJ8
5ri0+WyBljgF1BvoRq+LtgYRHhBNNe0Gaec95trbDTpJ8pRKvb2l4CnFWdTo5QrT1/GELre9L6O0
3GN82/xQjSstEF5QtDJQXBEF4DHKb+LArdkWgZ4/wKz6i0o6cpxaTPUhKGqboy8bAKhg+oGDaHh0
oxloDXErmiMCk/TnJNIUy8FjJl+i5+3VaHfwmFieSBfqzwF4/mfeTx4QtuT8YGZgCLj+5l6COL+g
zUnmbwjTQVMXiSO8pq/CtvXXYFB2n3VUmauqQuTF1gZPs1rakxzS9hHAWXXHwNK9i4K2P6TDEN9P
w7Vq7KlfFn9PbNMU4DYsz0LEyx6t+ACW8cqn09aq4JaYgairGKvpzgF4vZY1dvi8BQZ4xpDqSymE
/cJhbfYyNfN4g8vcPvTtlrxZOiB7YQL+o/IJ2M1dBXr0dQ02p4S1/2YKOdt4B3dXkRuaRjd1vw1b
4cq52SVivur8luT1BkvwLIC/qQ4WjHkEUpWeNgeDj27rt6dys6hAS5CoXlOxxjuv0Jn1dRKfeQeK
bjZ3m8oNk/IdlOv5FELxDDIbZkVPHUgJ+/ny3rxp4nuLhnNf9a0/RqFi30NX+wND7JfapX3k83jo
BuDA4YpheRJDCMRNBdeLpOoOi8Nxr/SEIUPIQDRt3WMtDK0yG8ARMAXX6yQ2X0GsgJDCpiy71wCG
788WUN/1hqq3zUI+RWeVlNOcD3UcnioSvxtP2gJCjfYblJ9Tu9tGqZ5BlwKDPkHpMRRi0vx6Vam8
iVLj/4u9M1uOHEmy7K/MDyAHhsUAPA4W37kzSEa8QMgI0rDv+9f38cysruwcmalukXkZkX7LKgnS
SbrDTPXqvUddv+dstZPyHYNBysc4z24zq1N3ZtMzrI63WCF5zVgbERCRUbAxmlq0qqp+cNhkORzn
Nt2ea4PizV9q0hR638kXhKTpG2SuXyQK6m2fxj3jdFWYd47Xq0/UL7WrZDJUDK0WDB493i3ovN4S
Ycc1XrLOmZ8djpr3eIGFG1S07KQ3ch3F1cns5puzZsUnDsw8AG5ahGWSMg9Gz/qeZIYhD13WmndD
2yBMcYguCs2MRVXZaWvs6c2L1Qfy+4FHyz2zLDiLSqInPga6Q9WKJ33jfV6zej6tiGx2wdIdHRWN
xVzzdqyyZjWwDvGQHICG22eWXsunqYKFofUjC7Urbzi6SUbRYW95/4HN95b0DG8U7c7RQGfatxmX
KcMlLQtxQhVhZRvzg4r5TGNy4GotTY+0UTx/w3BN6nWD7IcxvbsvHGv5luOiCEl22H5eVADi+8KK
nNrWnt3FiRZrJcSiG+7D3OOo7mZFvWem2atYCT1MOB2ibqqaX5jY8v0MLyFSlFsHLETeGyLuehcL
Wf+aemPZzTgy2XSGzeSps9L2ABqLwsToDxhIkktSj+sOK3T7gzj6dl5ELb+YehNiiO27xujSc6lx
3VdGKz7WagUjk2augW956s3EXyctPRdI6gSW+nz5imN9vmxrptJwgbJ3u8qOg2Re6g8MzUY0az1j
ZebE+7mc03tJ2GVH8MDbOYPId1vmNDdj7Gl7qKhlIGJLgo5dfpVy6++J3NyyO2k4CBx/4SrIX7kD
/G1nlfmlHbA4r+N8oehMQ4yB1l0xGcUhbjjWsT/C1AJkx5qbyzrQsWGsaIR35yjV78p6uNruVeo8
1oQJzKBtdLFLWu3MmYifxCiy5LlsOVf9mn1ZaaDPY0YZ4bXb2cF3tQPxrz26Or7q7/hiXOc0xf1C
bKIhuYq+ZH1RZOEZsM1SvHBJtftlHsSnY8+qPW1k5Fr8W7n3axpdIXZbx23UW9P85BW2g/Nr3G70
XrshWms/UkyuJ5ZcJL6p9znY4dSjmsMA5btllq6EfEQf+3Nnm89FLtSB1ENPSenF4TxkZ9Nu5C0n
whDZrSovUhls0y6Vmb4h05gXo9TINFNnbrfdAAHBb3RGJwWV9VON9/fC82qP1F5Yn7p2nR5yDcO3
vzrSvbE0Meh+I6vNYOpr6SFeN9GFi6iKp01Ig1w2E63vVZ6UF7MnIhOwSs2+NWsqFGybWOcpVsES
JUrW93i/bRn0ZR9Ln5FSugV526ktUpuOiyePm+RVZ7/uuWsazP0JoIaTcigxWIl7rPOivJ0Y8RXk
PMobY5LOAwBcy6QAA6ATZGVV/sJGIT5UM7qYTHLn+5iI8ei6HvM9KdO8DvA450kQV0i/zNNdE+gT
zP9Qq5HKonib3WcM4Dgpu7xbo4U10Ggs17RDa+O98woyopCnQi3xRLCy2mfPqfWO4DP4nsGoOXGt
ZF9c5xBLypp6Q90brf3Vikkd4qrWjksWw7sttaPeJAfLTm+3Gq/CJJsyLDI1POlzR+6DBNM+tgtm
HfDcgsICAXltMRynPPCH2ALMJVVNbchPcpJ29aWv/ElSpR0Mueg+b0Tq0yJfoxueRtgqefW6uQiQ
xZ+J56++ACKpUXb4tIPzrsuGO9p5wmezC0O0b8NS1w5mitWcZuRDi81LbmfYi1irtOFs9Blu/xhq
46x0WjM2RqErknkK8YWvfl4nw5G1YltUzmLyWWi4hXFamgzcpwGm4cjPOcHFkN5McBr0A/ZN/KTL
ezm1YT8mB/xZSQjy/G4bnfx+Nkug2Im+3fDsWfvGjL2QqwcC47x2pCA9wzxlGPsf48bN9xYmmEC1
pOxafSQwaaV4sbWmMkkk9zlFqbZOezBl8QMeDBEHGMxXM9C80W1ZcjV0F7mOWRqMBX9ftyscXOEa
ThbTmg6W5sQvozDGN9ZnNFmQJAUNSzbI9Lz0V9fRZkzTQ6FnJZYo1XgvhVUu74Op4nPP1M4+dHHj
U9DYb2puRhUNuAuzQDDuW046iwYeZaOWMpKmySiWmYTPxaG/EnYqnjCtNLOvdZbU91pe9CfHcQZq
UBePI2Po5pXp2ZO58lHUB/eZ0Il95oDBgZ027mEpCGU0DN5bOcuIjBaBv96LGqFPn8aKbZfqVHdv
cW66B3qsauCRa4rvq+tKhnNrm/l1F08/eLLSILUb3H5lmexLucj9QlQlslNaOAOj1inbjOUwuKgE
vovPMkqNrjmTxEVgIBc0vyjcEt9rgmn7VA4jxiand765FC4WQxqYDn6cmfkfuvT/a13tJv1JHrP+
Gv4urP0HLe7/I/WNbC8m5Ssn6n/+Q+j63xS48LNI0r8qcP/8oj9UOMdBa/OuGpvLZP0Pre0PFc6R
vxF/AlHtILWZrnHdgf4PFc79zXUdk4Ca8HAP4db5pwrn/mbpBl+lS8QzvqPxX1HhfsfX/1WEo8F0
DM+yhIRxhg35b8OUtLKJhnqYktPueqa1oGuex0nNb8k0THfEdJ9HrdMeK3NgIE3cpDkTLyNPRDo8
ZyCcFd/LvJvemWmmxzj3xgiJzQ62zRt9DD3DLiWu+bBIfXnk2yeMXufmXmGx/MQB8DGPPWnjzdOi
lj6IO8Gq7xtvjp+57UjCt6J/NVFR3muX1gipA29NnOf3a20/5nUxnVnPQtDRlPOLmUk90rMt9hUW
6dAj7vRU194b5jYEgJk8dJW3lNqaNu/1ihTvYhhp2PcNI9O1fdJLM7nG5GuYJYP32CxaHo7j0D5Z
JQvsesUkXM09ztZusA9kyNo9buP5ldEWgTcjLr7wrlaXyVTJhyvLFnNQP3yMSCjP2WiU7MyMuWYs
yS1pTaZD7VUumuAwicWPPMOAKlE1MTe43mUWC2v9WNhXM4Onmf/B/t0UALNnW6lPcF3/XgvH8/W4
oVp14YHVfjfZN/bA2lvqjNx9cbWiPyetKJnyuVszATSsQWL//iH/7yPhXwjyjoc7xvi/ngj7+v2v
58G/f8WfxwEiuidtXQgebul419Xkfx4H5m/SJovsCOP6gFtXstOfx4GwryeF9DzBs+oA1mSg9Kco
LyxOCtsTgLws3ngJdv0fZ9V/QpT/j8NbhCt+ME4blxWV+C7Nv495DAddzy7mOcoUj8wyJ9suzgag
NSKpfbYQLf+CiHud4f319Pnj9XhBRgA6fw/+GH8dARSKQlcWOovrrR6ziKW+po3s8jpr/wqGaPyO
CPrba9muzrzNIx7m2H/fAcOY0jDNJJkjQ+jXNZ62jdCiEnGkf25u8lhNNyNh3n3BfDxUbef9kgXb
xvtqyY8lnt6SHGMuTgSbGyrssbdyNFHVvVoFLmPUfWnfkjwRp+uCgI913uw46IVDfZ4tQLv9cisW
B/9L/amBt/elm4tnrHADxHonbcV5sDoc59cUTtCnWxwOyPSfuNXrqHdnFCQXD/DXuGjJp7pCefPK
McM6LrZ7hvq0b0OLakLNhlqBqveQyQ0WsO7p06HFJIilKvH4UUacP6+uq29UtklLGiFVhYNaiZnR
Iq2tOftmMzlSsF+yjHRkqfvi94QaORedqfvCHof7r5dHR/F5EKyeizSnulSrfK7sNG/CPDPj06a0
7ZyCZrhn1eNlSYwhsmJ9ClTavGllgq6gGw+ZxXqlynYu64JtJSXx67foQoGJvehC1B7y44iAh3Uf
AoTwCtjqrB71U9T4SGgLCvbav6VE73xWYeLyatPaZ17jElZ1bocqy3D2MNtIcqh6CFGRrXnRFFfr
PlfGg+iY9hraI5SRkHRL7xN9S/YuNr6wKL2jQaMRMCDm5bsu83Whvqos9Xx7zPiPZKV0n+tDT547
mAqn8uuk10Np8eKGLPVwcvUHeBi9P9ISBqJS78pgbQzr4kIChB9zzEdd9IUb4gHdp7P+ADuPDST8
RXMz8UKkr6dBZCrACfYLE+VF5KTE4BoE4Ar2ekNIKJ0BDBi9+YDqDbWiFL8yWe7IMhCSHYe9qWdf
uiHzKI+7N5v/McXuLXyKL1TVSzmok2LiEeQTVigUjSfVyb1mM2Jfp3MS5/vB1C4se0qjxsMh5i7X
9GIbt626ZKY162Fmxf1dO9i3qVa/QZhpCHniuzLn4qx7y6eEPhDmCyCMHOoBgUuX4KbyKgLJs4eR
CzVic3GLpR5l8Wi5t8aaqFszXj5AX7wuypAw58gn5iYzLxlrsGAVCSsH4i+LSf1aQ+03HEgxeVz5
i1QoJTlrUDvjLdc9foEYh1bMyxVz+hEjhEMiGkiFmU6Azd+3Ghzmpc5Ly9nQyPgPU9jRQQe8sQ9J
uXpBXM+rrxVF78clDyqdN4k4OCJ+3DvPs85vWjnlZYLD4lt6g67GwqH/vlz/M9NuamQugP9zrf2/
ql9J9/4/7rv3X5998tdL9o+v/HPsbf3mSIgZtmf/PvW+3qP/XnA7ktE1RbXpWvyjf469hfebYLTt
cC+z5vpKxf/H/Wr8xpAcgzvfTjKy/i/NvP9m0OJ+5SUIhgnP4zpw7b/TvSUr6iaBsrjrRurJp2R0
3efN0aomtGtP3lkOvI5QE7iNK32pd7AGs6gYlB3+5c/257X/19n7NWr5t5uXHwN7L8UEJYc03d9/
0r/4X3R7kqm2ekZUs43uJXfXkRmdFx8nVRrPY556F5a5+BsOkjIm39LU48FFBolERsnL/5XuNMFj
V6NW/bAT2DBVQp6G54zhSInfiDEJvIQNb24InG68TbKUIHXGaDSy8AE/JD3u0bQ1KrRjUD1aq21E
g1QRR1qXzyE3+BpVnBqQc8b5jZLJwRCMSEMKbvXOkpjoilQEvIkrKV99+BPi2MVyea8hPQRjZt3i
j9UO16EY06h+MN/hkxU3NmPrjsuyYIssm9vOixyClKDJh2kO2y+Rd/azx4dgj4I9nYZ8RlElPp/5
WZJzwai5/hgctz+OcuruEmugHKiFEUpYSDvpWcM96aeYc91YaUbMU1E3B0xx3FFktL/ROBUtOQgE
RIvpx5tAxAVVpBvfktnTdiN+UiZQZuxvk2lc2kRpO/6Jvl8oIsJ6TrpDTxF1UZo5Hyf3auhci121
qjVsrXY8I7Cm5BoshY7YNpEzwgkNxhbZZnVmO4oJysFVlsOz3epN6KW1GTqqTZ6gK9lvzubG2HMw
dpowtA7MQTZ+tfZ+y9fVL6U23zDuyZ7HedFe55kkbIaZ+mBYlu53tZFGbY2aY27d9KstMzeSZV49
WCU8bp+tOyOyU9mdUmVaIULnDhzZjZW0B7fSzm6b4PBaNLBJunPnmNfrVc+VCDad7FhZGWSVyJU5
jEv3OSKy3/fyal5naC0TLaziLQ962rNe9vcsSZF+kXCtOSNoZBBQ6cGcWMvSkI24bfJ8eEtRB/dV
P9TEItQQrJWmfTgbnaE7VettaQO6uS6WQ73X4KlekVGN2ZfX/5K/FL7ZPVET9boRNq98TUzrjbIY
DhdJLR70xRT3Yzktd3qjbQjk00JvC8KP0Mgd9Bci4uW47Rs1DA9FYct9UVjbgzXE5MQ3LQ1KLCgE
R7f0Pl/T6g6Xp2JqmdoRoAZ5TFrDCuyEmTbxBSOYnKE51HPTvBSVyWA6RSCvihzck1d+mUiUkZi9
8hnmFykTDN8h34N9SUkrD9MCrnQBnXGs7cHdV5UyIrNaGTrXpaOCUvO8qFM6rgqgK2GH9H3oCHRG
uVp1FHvcAdzNbmfjPwHiwREhedYo40OtQT8mEbaWhwzn12lNnNgfzUXeweQxH6cFD1zV3y7Ntu29
qbZv3Npa91lRTXTFUtwoN7nzOGQi+pM7fSyDIgHoovRqPE/CTH+udZd8lWoZA6/AwirYE3VZwQTc
bY7ZvilO/QNBf3nq2Ed9U83WcNyqyd5pbLG46/mxg5as8aMigf9uNG56khnN/DCP48/OKtpHTmaX
5HDd/TBaymjhZDGZFQmfvSHsUZEsUzI/upYd4OzrrnndcVz39taWcwhFg8xY37TjLk7yeYc46DYY
kvS5CgGLZjcj0n6YMAHbZQr3fFK7pMMZVCfUh50zhEarmyBNx8kcfGHOMpzS+AXSRnzHMKTeAsP2
asOH98H77OH2hc0i3PGBfLwsfIP5I+PHhiGAiJldD12Jni2nm9iE8MCZtu77daxO81om3xtRTVR1
quO5TiZKo8X0GCoxxVaBAXTAvCRNbp8cnN5WZDbe5wpXTR2bqmqjeRyqkwuA5c1KveGwZTUgommA
jlARadtX5Bc3wGhe85XW+dowB+iGL6fHSRJP2/CG0DQeGlnfVYn22i5zf6g0XYCfA0bm4pHc/IZS
v7wm/Aae/836TlBPerh+VP3GUowCAtHKC+izc4xnMsdrWVbHxIjnAnXoitfDwl7cg0KbxL6MZ2s5
ymydvAsOFJF/Ap3px0eRldYTWxjMZTc0WvPe8yi8x7FRvdRFot1A1Kvwn9Rc0JHoeLXS2+ZvDeNh
Nmu3sfWipuktLz3tvLr2Ep91C86NhHkgA3sgZPMHqY81aCZVdmc+/oHrY3Mhqax0lV9MRe1HrkKW
Mc5OVmQPQ9/XR4AQ6dOIs/mJOcsiQ7LOjH6m0mu/VAnoIUpSR75W7WL+hAmwHgcSF/s1neRZrpP7
6ZUO67ljQ88OmivsS5xZUCw1xLwnNkzKm2rhr8qeD2c/iZapc6+18jGPZfu9tGT7aHFaP61l2x6o
laed6hVOZ4K4rvSJby835hab1ymLipye2uV3mPUwzc5Ln+iFe9ezEik7Tfmj5k3uGf5Pz9Q9V5Ge
13ETZGxp0F9rr0u/zzZqmN81KXGDslDYGZC97R84m9rqLiMmWEdDWm2ZT3OkRwUmnx7jiCceRGUi
PwhNPSSzPb8VXSO+YSsxn+pBlCdPsCnJMJf6Li409a3CLnWkqsnJHE18C2qtOWNw0k1hsaQz+Dpj
OAsG+USdXI1QKWuWRTv2QTVvNXHExdgR09SuqfB4+tYxn6OdyVqCfbLKl9s1L2loN+ACpr9dAyNI
CfVyyMQ8hrNSx7iv6WQcbQ7rbk1elVH2N46pSnL6iQiq0jIDLFNGAKvxYJTgKTRvcY9JuWx34wBR
q2u9np4VzgS1mLtfFmhpHKp5Sa6PfePDcm7iilkz/c1oHJweSsOpr7PkRDlDU2SQ3sR4G8tnizkQ
4KGG+33vZY64z9tig9TGgqB8q2UfZJ3ZPfJVOztb0z2AD4TH0q5CBBnnPKt+jZJ6VWVY9V3/1sRy
Y7ZgryBJDFY7QZLiOmJwX7W25qNJsgi03tTdtK32DrvGerSSzr1IIHmIDPTbqeU31meiH5eueiMM
9s4OIJ9Zxclw3pifmUaA6YX8KlS5D+rLejcIuyGls6zTq5as7T0daRaZeVzkYWFJ9/aaYdz2K1E3
+N65t2c9BwwZZovIreTxULDk3taBZ2JJZh8NWLIkcMlx+2Ism2iJdbHe94tu1CfsGjZjzhKaup1o
nT9hpzynuZc/T2OcMNvGOoVFvzhmoBnvpyQxSSM29fo5GSVxYlXP2SvemDisNJvBOpg0xwwyhEQ6
Y4xhZVSXLi6vper1LPbtCYHlD+glYac0QN6doflhyznYy2wd4Yo2O9l26Cpktm+zGcML9W3+stSJ
aZwmNWlhNqMsHbw4botD5mbVhekCpkGx2Qd+5Tm4knQOkzmJj7FX5r01Gz11NTaZJ06bBBpUQmov
TBaEpG6Io3KKp1OuvEuXu8hROXapvmz2Kq4UXjOkAWMstPcNe1e/B22hndwse29NzYOp4ySav25G
8TlWjrrLORW5/YcSdiW5JPAea7yGuaVXN06RUr1pk/7SACC654Jrz7U+W2fP0whZWlA4rYXIOwya
+AsTShHlwnTuFjs1KKCdEfrHDNptSRvtBXMtZ8i6xPESeE2l7/Om7COnsNvHbZaoBMtgmLddrHtB
6m3Luw0V8mHlFN8bStOJgYEcLBm8M6TsP7tr6hreQ4tdUDTcnApri70JpKH5Nu4oCtLZPJu8Q1G2
5k40Sb0GK+tYkeSiIUHe4qdJY+fmKlu9iLG7RZEbdsSA+31BWAoJjebm0tkqP0NgczhIjGI8AKih
cFMJNk7LXq/5X7gTRXUu6uKbNEpkQvdumFxUIZHkQbvk+i5NqvmopS43E/tea3zSKFfDdle0bflz
Wrvxrqb6IjAcq0sCT/dAXGU+OeIDly0onsHaIaoQj1nWg6lZCb3UNodrspY7wYXEMFStyHPw+w5w
XNYgNtjrkByX1D4lq4QYps75lsob5ShxrlyYOuh9cx7gMWrCQkywzRacA3ML6bSf5meWalJEV6oO
cNM2gY7fl8k+TmC1UtHGnbLO7jBaD5Yo3dOkN1OE7gVZUXOZ2/O0n0fc1GCK6k5Qglb69WNoB1hZ
ikhbuiKs7eUQw/vZAzY6wcHbQwMKhZtc57l8ptdgRswOqTrSEwH1LOiMbDl3GGtD3DA1fVbN1FU4
pdhl2IB9ZdlkGRlnWSHkvsPVBNQi9xw3a3ID20DLUjIrjvFWcv5NE2913NQa9qUVrhOwnXOiWu9N
x3K6h2EmXkF5WQEmxuLULNsYCk2om0KzIWTO3nTYpsz4QYrdfJXO1jxSAWfHgf00L3kVY62sGu0R
gZVB19bmnJU2LCfcyMmlG7IE81+7RTpF20/BmtWjKxoGYdZQ/zKT1vY1a7gsbXZm64Edrnr8oS/c
feYabJgzgzHVnolIEsxdJ+k3s9cfsAA7x8UYvZtZzt4TbL0hrBQOsFpQwE5OZUZQ21w4T81FTyr4
imkdSh04J2OM0NHLx2xacuqEqnsndGKFJVTIwKLFP/amcSBdrzGeT8uoYp0zmNeB6buXP9rAAWy3
kr5hdbe18drqy80I7I3FSztjkN+xo95Vsy4OAGCfcK3tlAaloewOcS6u15LEqwfNNaA0fO2U94av
NzSm9L1D2AiKLm9D5VbEM5exPHgwRX2umerCBlCDz3FXHz03P7vYACFBWttZdokWObZbHMrc3Vsr
Jhdmc7ijdDyC81CoPfbVJ90k5eSu1RQYkHLCjfh/zoejlkfdprki1pP/NI2sJjDvkEtP50ri3OSM
BKt6IHhghvZQ6HvstvGuzp34vBSgkADg9AcP+nGMKz5zLqkyYt9dnHAj73xkmWWxT52jGJMznqDD
ZkI8a0Rqf2saZ7jolmN+SzML5mM3DR7qKWsB93lZEmzK49UdAxcv827r0+ZFm/HeuCYtyiZJDJSb
15yBWExPMOjuc2zG2Wrz76EDEPg9DWX7WS12d4PVUysZE+gE+F3QwI2LU1WUOySm5oizOQ5ac0He
xuxzsxkgmSSZlJ8mvx+YuTEfAoeU6tuoue1xAn9xv4yVvWMmIEi7ktNQRRNN7aLvJO6W0Yx1zrz6
zZSa/jgBCKTDWbz1odRtFlW6mux2Aw7Y/ZxWNQ4WnT89KXZwB8jLswZzFkOPfSnJqoaykfPFYdcw
s9n6RqWsZtrEJ0RgJtGbc/K8pwXnaJqY92xGPpZD+oGD8HNFETd9vakpxI12wdgoVXvombXuuDY1
NgwVS5gZmh7VWjnfjvkEy9TR0gM31wG01YGRAlHEKSQsQujEw27k1jxQThlx234iPN9qle3tsdIf
bE2cbRIoPrXWrp2m76Mxqy5YTFwcLdfBUyf0FXU8+T6aBvSsWnsxU8++YxY3vGu22eD0WxluU7Y4
NBBHs6Ubo0TRnhbPvKlNdghmBEScupGX1oCnm9nGGwe4IpDf2i8mfjtcWNcV6Kt4KckFhZl0u2CD
PkwNHXRNHhDM/xx1pt9kcmrfcyBc5qPb+Wspv3JSCDJJjyVziGQun1vgln6OnJ6203WAbzq7MsYu
SMqnqNY3rXEtnh4tj/CKg48pIKs80WT3u8JKb7IYTLknhvu5Kyj1yIjcJ735LSMtHjiLCfak0KkX
2di+Y4g6+maf7hYWjgZWahRIecK6XRZWTLvFhGWuy+IQT3UEujpiWXTdBbaYTlZ+0Tz93MxpyuNY
PV19gcQ5TrHXe4e0H2/l5i0dHqrRC8dalM+qrZc3sj04c3BAFDQcftksB9kWy561fkYVFctaH9Oh
H3caGPyjJhLjkPdium+3Sf1QmPwCnlBMDP2z2eEfuzcaH/LJLwed65l0f30UlL7HBGUoqpbpokGX
9SsYfDt9cdyDhbeS3oTwTYncMo5182KKDEJ1to7KTzXXjETD0LQaJkzyzdpcDAfFjLYh3k3OJp+g
86YM0rblpt6sBS3TkO1RymwMO21Jw8pb2DFZVr7HBg7eKF0BhI7TyDGc1WMoZ6bfJnuxbvmcRQaW
dHbP9xdIVZtfk1bRuR8zw4342h4coKUdSWilUW3qa8hrOj+bLe4P4OmevDh7Ko062Tu4s/cAbPIX
rUL5bu3ufgQk42epnkY5pgggSRqrgbjnqZPhRGGhJ/ReNI8gWbAzUCesm2MBGtDIcG0NI752nr/b
NeQynLTJUabKuikwi8N3SDQk4iJvrvZz3rPDvJjuxVEN8CB0ocYJ7Yx/B1t1CpOKDYM8FL8cpC4o
LiuroWS2PGQ9KQomWujhnu6A7MHSlxuGeoXijL/UBSVcmcTjoz7NYthK8ZUkHK9LhuM4yX8Aix32
Q26yzZdKk4IqHwk4cSOnm850sXMaQ+NcWCG6erYzqcsk1zPgQu0F1CtYmobWI+o1IZ492xYAT9w8
ZyZal9mFRQjq7MSNOEyz0EFiKXJJuDe3xF9W6dxiJUhBiPTtgS8xI91IB8D9uM1TfLNHMcj2q08a
SsfY6i9zR8NUaab+YFS2utNkbe7bhF2+gAwpgFjGJSL2UXPzTk1pX/RpCDuKPxP3EKBnVIqL19nG
01ga6sRqVOOZg7+6G6WZ7CeF9RguRNvuDSjQLegCrK1+0ULGpflvuPqIqKxWS6rIbkeUsHo1kndX
cl6Qw5/zb4Zwb0bYyoiZc3WftbUMxGJ9xtg1PjD+1QkIIzP+FRdp+UwZ8j3zbHBGefdgjP2z4eVT
OF0FrxHyx7ABXMqpnc/LovNxtRG+XFlNh0XbqvfGTp2DC305IDWtR1ONL0khD4Zqzbd7MiVLwByB
TN7quMhm+HB5tCwEOgldmkAdIaOsuXVzE6xruzj7IRm+TWsCScPoXlNBHh70JaBcw5a326BSqFN9
+8Ni1wHr6mNn3pv2aDF6t7CNNzaNjYqfQbZ7R9e7ljts6cDLfF5Am3HgLdlpNZyvlPKfdRzlEOZI
UJwEQKKDabzuUyhAdgb9li/hOIjqIrf4fnS2e6mk95DA+w0ISTS7ejB+VonLh9FOzZulpDbusit7
N1u19yuRkL0d3g9vEO5BNgkQTtu1wGqyNALeDm6IMi6yIzRCceDWpTU2TilV07esEPatIfj4wYpV
p3FxtQONHRGFrngYUqn5C4OpndMOF0Gh3rvDxLp5VMloMrb+iF1fu53W5QpYtJ6TRvJyOVkyq4OI
kWhyCkeAPGvFGg7YxMEgzDtta/WLcPTNd2PCD8JVNMV57qEMyfw8VMujMMgTsn8VP/I8i5MRe0/r
MljnpKpwDQvd1228vJPjRXDPnusiu12h/RGSBEG6QJwU/pYLxwnY1qEfZNUNO6xqDJOI0PKrD97E
mTw7OTsjanNIUAE6iw/zTNJTSA5k4XVwFD1N/qptB9US2B8ukW7j7bVxZvMxDNfrag5a6rzBjl9l
N0PSx/fdtm2ndcBG7npDgTkh+2Yr+SD7jBwoJG6ZiXMBrMlF7d5bdk8puJoPOLfzcwqZk53uYVp2
Lxhz3+ypRmiFsBi0tUNc6yHupyTcGLA8ddjvA0Ori0dTr7tzy3Q8nJRMXmxgxIe8mylplr4GkuxC
xBRO2CYNaQxge/tygDI8PizMmm7UnGSnjGftvVziNA4KB3Oc9W/sndlu5Ep2RX/IbHAITq85D8qU
lJrrhZCqSmRwHoNBfr0XqxvtdsM2bMAvBtwN3Jd7a1AOjDhn7712D555Nbh8A+LSvbMGG12sEQVs
57o/xcB8sMK3R8vjeboSLuRAINDcBiW3hVXqTxwnRR6BVsJJxMrRK/dOU4S8jUSOXs0mEcsFCC5O
oPPyi4gqKcIaYtsdv2l6AsL50gesqHLD3lU83y7hhG1nbYBK/zlnXMw4D8dHOc7qGNc4v1chlLt3
WkixH0QFdSd8lF/JkRHeY8eebMjEdvc8F7qGn1rkPzwdqp/QaZjrWBqEClEoy1wovIsvhu2tGF7d
vpP3ysCxsJoy3gQ0pjG5YpVPJ+JykmtmXjvhc2553THRFWZM6mzUx2j67gv2+wRosc+eqozdqmST
KQSU2crO72OwPVj9ch1CzI6Xll4fFFq9xmkmXzBht0fkKK5x5WDLHRO1OPh0Bs5EOWuMHT6QeIC2
o3pP/fInURwDvlD/k7HcoORGgmU2G/tnzoUPwW1mYbUyUlYi3WAGZ2X3kidFxf838Am7y+RVCVdK
032n54DvEv/a7C6G43VfAICJFuCVrEj7KvdXyoV8B4nNOwZR7F1QWfV1aCGQuQpNuPXGflfL3H0c
PMETLfFjPiiNz7s3kFc+GEbUoj/hnKRhIFw2XeWKq6L6zasz7MpeQz+zUnkwdXvztECGhBBe0gXi
Gus0SvNLb3j6ic1asqMBCbuqCk36fZuC9GBGwIGvX6qIjwLy3/hW5H5VMOPVluhic+ooy3mx+9Da
2GxlD5Bdnft8NDKywFGAdQTK+Npp8FopYa1NoJQcfFruUBT3zcgHOJ6DzzIBLx0Atnzgg0+JMeb5
Y2VX9r2pks+wY6O3ktxpwfmoD0GXxbojybnNxPwAqxW0SV2E0KEA8ESgXtdeX8ybZnqv5SbrzIas
a3VFEaz49Y31EtfNRk1ZC045mF9hK5ob+oHa7ZAO40Zry19FeXuCWcXU4c/tgSkw2XWOEd2GGgSe
P3g/dNQn05Z0ZLM1QaBeUjKwW0pu/ZvIIiI/KTArbDq4BZMkjR7HcpS7Xhv6IyLDQ4GUu87CSNyX
bVu8luTg11STmis/DOXjAIRyr8iiFISCGxIXqCjeTH9gFJ4la0mmjixNn5PB7G++jeCztQsZY+Gx
TXl2w4krQRwIaxM7nMlu5q+j2dFPesqsA41Kai8IUA8ZwCUURBLhFdKpo/ztclL7DB5bP8QnW2MI
WBFcMV/1gCNYD93ENkXlizBrbVLqp7ZAvZ+ZzLilYNTbB1XtXFJsebtiyiVWJPsH+lt05iKS3uXc
JtdFw0AzSQLWbs2jVqVpviXwpS4Epdw33yDZEZvjLpXOdOj63j9kxCLP9WzJHd5C80YSV1FJxTm4
6skFsbuZAPn05Rg9JUp7V9aV/CgpoqDflOKMNG098KoCrfPEVF+saHDXqGulXgHHIpWS1MF8R9OF
/z1NZZHvUV+YAVHd9ImWEElBwcynh13qczyL4d4Z6geDJD4J5ObS0GtxBJqZ4jumb+YcU09lrhoT
dPUGWYX2pJqq43CuvpvRs2g79ZBU/MoZfuVYB3a9kUcHJ87586qutvcWF4UzSLBDXkz9Z6aw8Wwp
Lhz9VeyW8pX398dkN+les0Tg6EJXX8WFxdimo42Xdu8mFRX7REiSI2Ba3XYlWNOx3EG/MzdCOGSU
ZmfwtmPmISm2ljrTZ+Wtg6YcPvrJmR7SifOxbvx01QN0W7VOdfZLtyPv7rkcNmjm3P+bKZG3Hr4Z
6+IUMK0T84TuK/MBrQE+HJ/fAmSrlbvZr9ko5HMXtv4vFLjwzh2skxxSp14xb5OnDuyxJfotrRzU
LZY5A0H2vrKadikxsfhUWMbGzJz6xxjSnrAC0QpwXcPGxt/uJT/ZgTJ52I1zH9tghzEGAUgOyuIe
4V9DCy7pLui0MM9xAS6NAgYEJsMlwd0bH1Gr2x8hEExv7VXKPLN95rTBKp7+jFhWMiYAFN47o5Ue
8Ozg66+G5o3F0IdM5q9RhznHuNe+ODa4RdmQ71xxnMp3WMrzWz+Rr+IpZE6HseWezqzRMU2ZOe4A
ZpZNHEpF2ZwuH4OpmImKBd59XxT+1q7z8QDYVs04+oJ+Z5EOFruyBkIZjzCQRybRnlYXMEV/BpyM
tcRu9ttHFC9r1crKYosRd/oQGJR8zIkR7I1G24+VMNWdb6C89jyPbpg8jPXMpn/DpV0/5G4sDnbf
x+9kcJ2XJuszvA64VlB7TMwchlDEx5f9uJG11jXFgggUvS0CBC8gpCNptUq6mIn8mJNAlhOLdiUp
yCNdsOlhQ96ZFJWt+9LG5FPOgErB2frpxms8QPd+951aknqliuAyKQjsDG2Wz1vbsZ59dvtraVrh
3uNpSsR7Ku6M3H5wVTnvOuoEVrY7+1cgjWQipNZfKnfgjWMLDh4F4jf2WXcGEyGt4oZIGz7ZhtAP
CNjelx0k5dmYPHS10lSntKW1aB3HOby9KgmexITKCALuvWMPvTTjtfPFkTrb4aRp9xyl+F3And6T
YbhhwcvuNHeuQwohciPG4LUp2oRyskZylQx0+tLg13kY6azRK3MQ6atuZjQCI5gxN0lFJZYzX4Dc
l2vCw4qE9eQfuyTbJ8WYnNyC+icgysEpdd1rHWUU0jlFcCirqTyyy1DrWdYF3wg9noDxzY9z2rLf
bAnzUao3me8RZZYXvhILecW5BW30Eup6fEjauNz4EVNc1nbxhs6pZFPo9DFBJ5S4oQ4iIFrVheF0
ntKazWuuy2tWqXZdttnR4Tr7WAKTPRAPzu7CqSDyyfDkXGo/rA7s/X4GXf0szAmSAIJRYLinsikQ
bcDGDIc00uZ7Alxz1+Er3rtCFC8WgTy56tGkiVaXJ6vyhjM7ATwhwtUbadnNaw4s/RJAh1oxJgMc
bBGqKV/zKL7Br9SsCaHlu7iJ04NtSGwdFb1CWFrBCGc9CwA9TDZB0xhdNhFm/shjmiYMJHm95eSo
dmiS5nmw1e+6tdj1dDGMJkn4eJUjRV55brmkrJ3phJ8A6m4Y62fVx/oalNF4IOQ337BY5ttZRqyk
Qqu8NVwubiP9Xts4KeqPKVdkb5NBq7MuTGpTQiv49rQTvSqyz6tkZihlIx01Gd/8mQIl6YZvpcyn
TS0rtgZJZeBut7OtC371mMKLORaJj2lbevLqlB2L8hl7MnBrp39gN5D8zEf05JWsS7F2WERid7C8
8+R14t3KRs3zbO7YGmr3PMxT2K6hUuT4tiR6Aomon00UCqjGVvyTJSF3iHRZRTkN8BSG8IJBAA5I
0L8vq6A3M8KVtaJ3r/+YI89+ZbshP/CnzffsNpxtHEYGbbBh+jsxhHWbqPo5jlGVP0dplGyRBRjv
6TlaOWHtPy1RjH0yNO7aDrzkpmLk83VNtPPUExj9hh2unkqOV4SZKbpvwsZ18U7kxaHoU7E1yBSd
hsJxdk3HWcPwXJoPeT6NH6xZvAuSVQ4AgIgxH3nR3aMYiKdiYAA3qil7yirjK+1aSsRbzk/qc050
VHbIOW57Hzfa+nRp4NgyOePAKCtiy8KXmMJrujz6hsLFLgPDw3pG3eC8cgG0x6Hd5KVfE81mkVGn
4biuQ9v6ttMgOuPQoQ26NoaWuTYakgePywGgbR2diorv4dg2xdIyRX3m6LMtQI2yb2PVRbc0DKtt
jBHguYzkE6crdx6XWZrjF85v4ftoaUl27rJcv3ikVQ5TDzlPGDmRbmJZ7YY7cvYWgjBgGW1EybsS
FE3CxUhH1g7st+GTLuFWClp3Pgmbc2d782dZS28fJKh3XV/Q7cjIuQaszHGF1vfENoyOLRfO0zgv
u/faHLpvzDXTOqhi92mGH3xU05AvwU8yALYMT3VGalQh0a/5qkKvEuDg6KTE0o6uShAMW57kY4mC
XegrKejHYrZ6nHGEQ4YwCna4ybhzxpLIP9LNU6co6olV5x5MQSXnuqMUkPAX2vv3TIsQJ8VcvmQJ
r4EnOocInkergBqja5sO7T3u/eyUAExmhMcouMp8EfCSW7954BgXFRFdA0lhBMbKzXOeQf+CVyxN
UwpmdokaXWudB9Vvt6kiSBNR/pH3E8EGiWX4hbxMdHBxXz2oMkqpT+nUFQa6iROpxAybKRq4oKGU
fy0F/t/Oov1fCp46boA3/T93wh8+2+mz/Hc5M+uvv+bvoVMc8Kbp+y65sX9Ev/niL/i9PdO0+CP+
ZEv/njJzzL8EMN/oLSH6jHD7Dy54qHCeE5oE0Gywb8u/+R+EzFx/iXX9YxTLsmx6I9hmOxCb8KD/
E/kts+zEzqjc26fKCO59lurIRHNZ7DB/pTg5++HDxbh0LFFCKM9sImgtTPE4yhp1gL0WHsFRIxwJ
fg/k6TR8BbbuvNtj6V/n2RQv0o26y8h1+TgVTvpVScNhuxDrY8k/D17h8tUL6IuZ1o3Vi1+ZnpGT
umbor5if7Gfhp0S0pVGUTEs1TKLAy5/t3Bo3QWjap4U789A1DhlR+F6bnkZdtkb4J7w6Sl+LwO1O
rRFEr8AJ0ktK846EQoZwGVIkAcN/C8I9WKVpT2jI5wvoZoG9dlJYNksd6NqNXfDDJSW1DPFOuZcd
YrugrHnjNEO2dQJdPMm+9VeKu/51sKjr4hmxCRK3Xk3SM++EEPWFpJtx0rkpdi4L1auwlUANyrIn
1Zv9pephRaS+V2JVEd0xzjsLb1+jbnkJeAARmSd+zpmaDe41Gtr8SgmK2jd6CD8otaUxzSgVQAmb
c8husvs8d9qDuyAretq1VvnQz59hIXIaPlK2y3TSUrrB/r2f/XwbkaE9tUQgX6Ks/i7LHoR6iUFb
rnWRcXz1On7tlwTyRB7oOYyG6Lc1C7Jq4k+alawcE/tkst06cuwX3U46iflR/AnIij9h2WD29Y90
akb8LpGQD2WgojsZFPocGonetjVXbKAhcyA3sNnDzUTFl6DV1KG2xmDXX7E5nPFUqaHAr0neIVIW
NyqzQtptu6q8c5ZUcKTd5imfeF9EU5iE9hitNQ+3OemrE2s+55Ix8mKFKPs3ndIc1wXh8OarVL7C
WqHTozFutpfW51SN9jdKHA0KHHAArIeGNX8aT/rRttNfSRL84LiJLnU7M+XiETjbcDU3w4hMs+rT
iirdqHcANfh+7V4UGcBbUgUW+lI3nbiD+/dFTaLByF4ob7USzthY3SmiF58tqN7DZIvxEMsAa8lU
Z0esUls71tGBoBUDoTM73iPdUtX92I/UxXmePpGadD8Sp/Uwhc/KeKfCQb7GdZ4dy2wcfxShZ36O
EWpcwj5xU9Hgdx5pydxQO7fJPPdRaqu5QVumGGzI1SeXrebV1ehEbTU4H7Wq4+M8KNj+k0ORDnXe
iBKiQA7e8J/W17gjWgtYSsRnJ8H+wWhY37taktUI6votIsjDVaYwh4PdsGRem0Wd7dKImjplTin8
K65mOEloIMl4OtyDyIS4oP9UjsBXZ+FkW+OrV0j/BMhp2oD5qS6RD92dUif7no7gjmKxwdoi7dDz
oPyWBhYQTYTVaNm9ZEnM3BshFP/GJGn9DrwJ+dxzm4vNmduSSmhmC8cI2yUqadjNcaOFiMcVdnwh
g182e1bgZr6GI5P5Gzjp9CRgl8Jv7tAN1zgL2GPA136xsQduq9wxd0PU8Bys/N50N7Uo6VogzEbT
HZlNyeBsBNc+sBpWITyKP+Bykv6MtDehkbstG5KJwGa0UTlUOaZrD39Hy8XgjpU0HgyRYF1lccVq
31Dlrw5OmGaWj+0fonW1uyrrLvnQVeCIFQ9E7rZ+mfqAIHN78D8moPgjUo0TvFgmhuasscb3xrTn
8kSViOOtYFRPR2M03XLfkxaxiJxK4yuuNInT3q399wEoZrAN86B9MBcYjVNNy0N7jOjwk+zj5dpA
1dkxzUzDPrDNhdtih8aHlwDdBqPCEnI1WZ3WF8LYBU1g0q5b3LVGcx3ztEm2WveO3sa2xWDcGVSw
UpaFwMoW162epKdAeYzBDFMHMkj3ZdIsQGhx8LyE7aRr9091Yhpnio6KHa7SviV2k7A8ShsuimaM
TMMaPhs+aLSAilDgBgIxNYwCnbubEqK6hrfUirgRmlRupWADyVQgdZMzBvflHS1qVLpVx0z+3Rpe
+caGvNtjJJhyCpHckcubbvKbxGfzxiK1u1C39d1MRvvpyvAm0Der1czeA0RNXnm7wSzC0+AO+scU
KNalYlDeD4G1I8DDnE1H04sx7Eg/B4pqKf8WZcEcPMRZZAAtEwX9W5nfjrQLhPwArZ/0e4opad71
sOSN8HWK9AUfnT7jfotfTSHLhtFCdJua9Dq0YFqVflsBp4oTjrqnKDzB146h+2Jk3IW5FVvUKPbF
4B4NI+d73/JFeK8RDJ8RvrIzfZz0f+Pa5ANInVY17eEYqn1kxdbLgNf5khUuGH5KFqhMK70SpcvH
7g6SJiAOITpRYuuTCPQdxLlTlefNG+mwQhwlO7F6HVF1QbEs7Zm4XkzU7KzkjTOcnIWmYXb8BV0V
578aQ+HHxl03X/HK843pIyt/S8t8OPMMtT5Nq5/e8P3gGi0F2anIn1OevaUjSMnm7B35cA8fRF/n
x07B4VklWTiSqnGNj4Z+MEx5gflSlNiELBYp+0iW4Ws8a+PFrMP8UTg6xlqkWa8lvVNcqEshzlZF
vLI8dPt7bBnggmBf9a9KianfzDRr/jCyCpA/YUkEN6d2nlyJCxMXS2Z8lU1PxgFySYs1KsRXvraj
gKsCJM38Uyb1XO8NpdJ2y2YyRIeTVdvsU7sw33sKZZ6q0qTNJBFB8WZh6BGojqN/S0lxxTt/JOjW
KqqFV31WZQ9hYuFL6Bmbyb/F7niOGK5WOImTx7FPoGSx0MKOPMoN28X8i/cKzM6sg/p17HpOAdVL
lhjWfMvahPbDDGN1u4obiy9IVoPmMyh1ol66MTAYp4v+Pg/Cv1PJjOFdR74fH3pJFQjmDxskVTZ4
cb+JEre/X3ypfDx9u5NrO0uid2KEmMFCrbCu57yqsRHXr0Onvcd+lOEmryXve9qW3QOrDBqi9ZKn
NwPR3QYLl8pI6QM/s2najNcWqjp9S8VRLhZawhBOsxaccHwy3Mk/GOlg7azKGrD8q0xu09lEcvWt
ZEGltOm9B2aJ+oWgtD/RW6tXownRyJAIzavXal6RMM+aO9PUvEK1qOXB0nHwmcnc+UkolL9WzE75
FWfhyOubTKhZwo9/BtxnD14+hK9Ybqp9MjcGD7/evmYAEC755EZ6Y7j5vEficA+ctHUGrMiCHVqk
wFH3VdqFdxG5hbOmtClcQ/fs042USfdjJITGJqnsnO+8DovfEcuJkxsZ8RfwyYkyy24O72ztXJPA
MY/TjC31/9Ekv/876WlnGfT+q6Hxpac25D9KT//tV/49Ph3APTJp5mYU5Knwb4AS/y/MfjbgEvFX
XBFj298AJYyOggUwwTzH4XPlOvyivwWobecvkMdNfmUYij8so//J7Pjvifq+wEzEROubHrFY37b+
eXLsyz70WMipfZ32IQ2G7XRfVilBCyeU7ZcRzpwTZtjU6394of6DwLQFcOefZ1YgSZ5lBa4fWDaX
oH+aWQmAZjyQldp7Yoh2snXc+rOwaYVc0WJIHGdAA0voLR6H95xuthk2ZYXqHvg5j6KIYkBvb+a1
Za+71gED20SkISYLfU5YE0nUoOXBYNJ4xa2giLrhMNokA4kswhJEYuiRsOsqmL6cEX23n9pybzuO
T34LPtoEivSV2QFomrnw06Y/KLVsoarJP4A16iQWocOyh3cyepLucw6QgBJFIStJHRxFs+TXurn8
SnkScLKozVxZ1aaLqp8qby0gimP6GHIhfQtnr9lT/5jetQVRQqDlgmCpEXvRCycjCR0uk9VxIu+y
LqPpN6ROiJKFg2E+tY+9rdPNOCYPQTLA4tZcPku/QnGxyldJK/qa1oSWn9Z+UhhZFioIdu8GSDoh
0XVeVAMkCQcduWYQp9VwDQQm3sQjnBBWiC4SkpdzH0TN8eoWu7+2P2sjRyAOxdl0u02XACmNnZYO
nnyHZoXBIeIRyZ1673ltt+5ciku6pKJcO+rG+7EdeLQONTlSOCBc0HB49tVQEOwSwxq1uFwPcWet
ORT8bRYQw+0Qyve9G8Nyo0prR+m5exSm74HkBe9otcNwwhAhEdwSAmCpnteDW2IWjVJyo3VcnHCP
e/twQRa2M5mseQRjqGyB7tNZMfsQDuhf9UJBHIRpEJTwjCtGhfIIMQAn2Zx32YZac7GJIb2Dh9IR
BEZIyA7t1sTs4w1ihwg39LnhsRod0X1CpsTnDvSF9x3Nz//AzRJc/AX+WCq7+NWDnfXXQVa7gJ+T
cbjFVXZnomLmm7E1JTJZ2Bz7qYFiCGKycOr6lMxF9VYEHuN/nLa4w4BbJ/O2/UOp7EKMWyvTrDyP
nIlXPRS54qJuAhKE1bugLu0FekmNC8sEbTn5Xd4VFrRBFt/7zECzgo3fUqO5ADRR1mBp4qBmuzL7
eKNMKo445xbwpr0gOEWcTNBO4nqmyMkE1Nn1C7MzWvCdjY8EBlMfnwORSvMI1hllylugnzNfqCNM
eFiDCTrOgdy+eK5avNvclALmD/cPTtSZxEgVn1dTPVpU6jWMGzdZse+iadvTNuXxhmjHbcA9vTlN
C860atDwvQVxCumloSG1sMR36Y2gXQV10C2O5gbI8YoMHbBUD2yqtwBUMwwhEPhdu3XW5R/GKgG1
5JnVMphlCYO1rYGx1vzPYXsk/dswu+W4ciaWI/ls3EeQXL04++qK5M5S6b5eUK+IREhwC/5VJaFz
7y1I2EYMd7Jn+gkWXGy4gGPnBSFrm8Bki5k66RS+bLmAZul0/JVkFgpchSgQEY84UGiAAuf7dGj+
gdUu2Nq48OVDsqBsyfUFCDDa3vYL6Hb2QN4iP3pXZnI4uMUUjXdspvV38YeTSwObPIdJABco/UPS
nf9QddvJtb78dJQnBsz8HPoExFiaYxvtrN7ZEIbpvN9NNWEAW/kVWx0YAwXfS4P7aowkToiy5E7F
dnxClCvV8MiiEstMIlmhoRWrEyzZ37XT8PzoKiF2SVtHm9CefCr3COALbkirUBvxdixieaz6pHgw
TErF1q4zOGuzGqObD2nUeVYG4eeVOWX9MYsb9bM3iuHaQbzDDlaxYgJsOt0HrUpwlFS2heSkfT5Z
EVgMQ8VfgUohgZRucGDhxw+2bCzJofFqQK57CShAxFhiMg8B6VpPmg9wPGbXxchLh1d0GHK7WFeF
e+rzxL/Utpec2EF8czrRk1GF9T5v0Q9XHp+U7kgKE8IHgly8xWeIpCG72ILlOjXtLyAh2A3oCTfv
WBcCzrUJB3XbJcquVwEj0UUn6ibRAN64XsPg953gt0mKmXiyoxtqoQlzuY0K1IHtCMKVUiq4Nn1W
vPq8T2uFoQD1ISp/MYwKAplN9EUbuiWeOtqlB1D+bCQ3Ve8A86TJo003NbeDJQ0ct9uMlRipDhrU
0sH8omO3YtsJwT8ngnL2uaovWVMDTw/luPReaexRmeNvRgVacS+LAfeeqIOA1s1G9s9jZpMLiSzY
IX7nj3qLmdxe5WpsHqaghLVE2VqCML7p6sJ4oAY7umpjbPhNozWmpp0JapiwKWYku4lhbcTHAogA
er5oz2nDyeS29BBkMuZHSC6UgP1qfP2TnmpxHDsCLGCxaGeaw2Rt6MZePG4e0dnI2Nh2flcHud7O
Q+vuA4UAFhEQ2szLbqaC5HBO3fg1dsJ421AJvx6XQPyII2o19qLDK2XMya3Q9bStUrgtY7TFl2Tt
6PKw78iA4iY0GB9Mg6o+8EsYmgfVX/IugNGEr2FVafwJU0cKNe7Ao9Y+7ZG8QyMJDaxunVWCvNLz
S5QThrSLqt6CfYIE05TRpQpUtY+6+gXZ3XgOq7KFTEvAiKsGQU+v7feVF1h7nkAAr9063gZZ623N
AUu+Wwrv4EGcWiVp+ECvCF9fyobvNe+7OeZdv7ZbpQUsV49tCtb3PYBopFWndfjCS+GeuS5gZCGE
hxqNdX43dKwIPVmH29Tqu2BbIWh/oKLkNx+L79lklPqmDdQ7Ghw50O8BPKY1iezB1pXajS6W2DWd
tcDhfDP6NpN5OHjuFKzTPsfswTEbMSsHJEsraSUPlJpzcmaxMk9eLPQe87DzGVptc6dMW99Tc5GB
o61LvFfRYHsnEmHM58zaxNHsQT4hrbtnM1DWM/jY6HfeRTOk4jKgkaCNZcaDyYqOaAjuKealBo6l
03AbO4Y88VXpmEfjScX7igTSvjBtC5hEEOKrFarHeIGnOrHz+BcOfcBsuRf6FW9CSQQsCIxn2/fS
A8PcdE51Ou9Lc1Lvwu2L89AATIHe5SXXCaLBzu6GsDwx6WakzhJnfiaTMv0GNVLwNWWLdmv9UN3C
pKqpnpUettkiGtYjV3v2sVn3GkyVeY2wXp+SCDF8shU+vBnPBYut1ovfpWjIEhZmfnZZ5D2rsRAH
Re3joxE6PbdJL3pwuiq45FYAQA8GBYUQRBLoPFs2lxF0L2qJvT6+tkHq3dkBYLptY7ik24IM5zHt
SvgTeOJZJHJnSb2IAxXIb1sWNjYXnjGSeu03TBYrpn+MTfix+DBlblRcKT1P9mHOistWJRdGrGw3
ktHz0a/5G5Tw618cT7EIpXbJwUM8IgDM0KJx6Y0LB36IfcUWora8DdFbuYY31tEvUoY7z8H2E3qi
wbdIDMHPw098GRZKCyY7GYCws1Xq7ZqmTn5xaSEL69W9xFaaL4hwOu/2BUWdx7pR3Qdf2vlmhB23
TVeTOmj5QwLDtNF+AgwWRRWvvcKJHyrd2texMxX8JMfWzeOkZZM/GbR0+Ju+nkGhEMsIgaOBIh5X
fdlqZHZbEeGi2ADwnRcoY+/WVXorxBg/69qS37OR2XsaluJqO48i3g+s1R4pE7A+hioUz/AGcLhO
rR2+D3McokdJWT7FhZH80qOXngwPUEsjaDbE4ogEsBprT9+oRBW/cezNJ2BMTgCeWTe3iVUh7mQk
DS5sHVYs1jpNjF6V8chuO2d483i7PzPKiF5cShDa5wDwRX+NqgZVcU5HUlwW8sw2Llh1oTykFqiA
GCZWWMQ+/qrBmuSxtvgQbgaW5Sn3dlBJfTF55L8zvr1iwohMIJm254oMM8HLP0oFS9JkMxqOfWmM
mpUm/6Cwp1oUjmbROnIW7fuS/vJX3BLDp81ItG5E3dxaVzxKAxOdztmfLgoKMjt9tXwOYcGir6R+
Mv6IyzAl7YT6ki46jFVXLuylcBIfnpz0SS2KjVq0G3tRcWJamGMq3tF2BCJPs6g93KiTO70oQNhI
5sOwqEJq0Ycwz3kPAsfHroAKafWVf7/sSU+9Z1sY6tCYSmGIS/hHeHLD3rTWTS1xLwaNWbNznaJz
tehVYlGuYiSsIU5+GarQj7iKF3Bf00LMceCDrTpPhd9DUPvrBGP6jrZiylRHO3ltF8FsTPnm5IuI
li5yGsKFcylx9J4kC+fHrBLfsUjMtb1wexuusw85DHRuV7L+zeJq5gQd7UMJn+h5VmEPnJIKaFrV
x1foApBGjCy5dmRFHqinpxEFBAtMbasmQB0JOtLZ/B29uEgeFQuAjYNDqSYaM9YPAzPpV4N2BjSw
7GkyYeVHFKy9V1iSjpXfvA2mRrjVAe6dtSycYaurMFi342Tj8EUgTbwchrwezHW2yKcT4tI7xfc2
Ch5bDPIq4TtUp+hHhHK5RxTujhyr6jbF1fQD10p5LRcRd8a1ccFSlj313PLQLRbJd6be9eQsMjDM
QvGiOp73fl0NP6RsS6g8vfycPBqmVmnISA0QyL8EPsPaChVF/JaLMp0sGjViR7gNRlet00XBdqIF
FISmTZFP9JovOre7KN5GxeeqW1RwKoXLTVBPuI4WjRw2rn2KCOZuDDXkz3rR0pNFVRejThDYzdJ+
XsLmV7PgzFtRXev8CuKMCWtoi/Zsxh1qyxyl8cHgg2ZtnVzhloHNPrwNGDjjTWWI+q3XdRMyd2nr
CSpc/ey3dvdJWRW7FT8DgLbRYVOSTcyjz7E3cWeGMc+Xc1e13sPM0+91phGL3WyZg54pvEK0uzQL
os+4H5mv3EE6X8orvdfKxsZKcKz61KNVb+zI9N9I7JArLfrqLuamhiGZZwd/obTAwhbkO6l8caNs
16Lvq3UPvJLdfWt16jJnijrhYlBnSzVIEpQobbsKn+E0ONNupoGMYOGifS7Q1NY35S6m7uDm5njp
04LkvQXOkkc8RTFVVf6qysbT19BAmD3AxhhxFoeID8MYW68l0waWrEzLb2UKyqFbgpxTijmNppsx
TlYVXta3jBlyE0cSnjVWr2TFDx9zJxARA7WddKLYcQuAzEpA4cMOJa7VtOQDJK2Zv4PRVbcJWUqz
CIrLV1GQK8xovSexMZWfcxtN3xV30GPiGjyGImPeADCg90sZxt7T8ou85RchPhqv/ekz1+606Tma
12OPl5ks0b9yd2bLbSNbl34i/IEpMdySBAdRFEXN0g1ClmzMQCbGBJ6+P57u+LvKp9onOqKv+sZR
tssiQQKZufde61vm9TD2wiJD1F7bPZrxZO8SMAbHJO8Dvk2mc0NYCgixV9u9BEswBA991rnn2InJ
WU9cBkeOC4GXQQAT7r6uj5NbewcSYrkdDJp+NwvjjGZTps51m6q2OAbUJvRxUBCUx5MG0RZZZXDK
IGRg/Q7bnRXG5g/m2wR9W4Sar4qahLMyLdXRS03G8FRQW5J9+od89u/nJbV27M0T1CVMrxA6nHY9
GIKYeoNgZPKp27OwIZnRE3o3vRifaCXRaTLNqvMzJzt4Kibr1QnPnke3qxPoRsLUTSAdUniu4G65
9N+WfuPotHwxS2Z4qKhb78LRoHRJMCriM+41LDko7Pa9m3q4Yp1s43QmypR45rksGUb1IGbjbb/0
EIOJp2qPLtAYf+0OdvyqEjLZu1Z274SBmicSnrGheqnBAu6O4uJkA04BXm3dKBXfp5bpnExp1DTO
wsY/orPw92SZ5Dd2NndH2ZvymLlZ8OAxMtnWjL+TjV3znM7d2J9prqFCE07HkSbwqyJSo0G86OLK
PErc+Stc1LLp7QQlCqL4b2NJisNIbtOjx8rEPHJAuwcPzV5hWSq2ST4k21aQ6BV2dN9S6LFqBQcs
OOmil5fF0Ca3ngI4yKi63nvNtHxqyL43UuCzY3TPKqibjihjB7GgpHkFtMyQ3ZmawH7xUmwlG9Mc
OXNhrnI6NrO+GVeJj57RKSz0u7bxjLexA64wgU2eK5wQaIN0lOtSX/zYLtdqDowD+Cd5YzRmQ7p6
rT5MpNcbYrHg1CNrYTHuiCoTO9gX6jyaDRDRAkOOtWg2Un4rDmCXqttS+6TtkJ3ib+oU4eN6DmIA
zE7KM46bOr2yWOLdUKgWBHBpj3dWGXYvuM2tl2Cqk005zMh36VyhRoVJgg+8BJ2/cqdMPhUdh/Ft
Jjo9bxaULPXWKOnlHeEN2LRkZYOzvaL5MTDVTIzXOne7m8BMc3rPHKILcMw5itE5JS6p8b3sMfUX
BsNgRa/5IMIT0wYx+fAr96tltwyT91HYi/cQ6LCxtn5dGirKc88rt8JpWLcY34ftqiw9XCJDGDgP
HUagYj2FmT3iQQjl6+Ai/hoNk9l+GEyme9AdjNCbhVb/UwaA+k058bQz8hoVMmBihrNCdZdxTjA6
2LMd3MuJRpwzutWZ7eZdWJncxAEYAMJTww+jcdKtnCGtZY7v3HSBXb3kANIQbwWaTDsvtaO5tnB5
zv2BT2GJOlPqO2wSfrCC99o89j0IETOelyfal6iMEXPeO7NHiyEnAvo2GRYYHb1ygm+6BggIErQN
BaYERgeG1oa7Mfyp3dNDRpvaMlh+ywhKQE9MCNupr1w/GtJLJuEUbhKoaE9FH9e3CQwIt/CwM9il
r0+xzU6w79hmqlWGdOkHUV5ds07BcnfXcDMM93SdxSWQuE1WcprLcJP5Myp05s+22IxNUBcbx2ly
UKQ45ks37C8OvqVXGufTxfCGGlCrhdi+drtd30nn2cEUQtRa70ZZgPYDx7Q9b7pS5OduKGfq8inw
Pnr4c++Z9soj3orxvjVscC7IYlOXADPN1MWySn5Nwd3dzRmnLOjOxviGZRTolMfhepsKHPiEZuoz
zsirO9QtwMkWfBCXhjRDY51IO/mOrdQf1plrWY9JTKN3lVVm9Zhnvh1pI6aADr1FsJ2ivYcrRyGl
K0fctbAxHlTSmA82SJnzbAiEHdckw3cG1hkMCeLTVqMKvGssFXmGWU3ezT7rseN5aWgfM4WbG49Y
ZjLnHeh/Mgev/Bvs1vEXnpLlU4Y8PNGUcmBbjSZ6l824oPHxZocyDsxq+crdBscRBQw7AV1Pfe5M
J/6ajP66wPEQCZzdr+g87YMDIupkIhe6SdMY9IyquiNrOxtQF5rfnYss+5pu5OwA2xvPnpFJAjta
/0Ynubp1p348LE46/OoGN9t53LYKRUyo/JXqNbTvPK42bYnAj3TDfN17fb2vXdgqgnWbSXZTPsI6
EDcAU+HlFfPwXZNUJ9eLNxNEhPNmn7tAnrAkVurTkmaXRsngNw+USHS/MZU+F6MTXHBEll+L9P3H
xW75pWUd6pIR7GcPEqFFccK4I/M7A2gvcQIDn+FjjW7gix2oCvAPT+GTsVhQieqqhVcLr+l+qPzu
oWmu1JuFtQXX8eBCIzP7/r5y/PIoQag+WaCOScz0/HtP13QTzLkaPhbaatcNebRPwdB1hNxSlayS
eiofilQV5BqFuS0fCWZdLrpgxJZyuGFKn3kXhlv1oTSt9KGzBRD3Qov1OCpKDRdPZtuiz4PXEZ/B
V3motJvkzNNt/NAWjgd++5biDovAL+lPSubgDjP/cj9D3VKW2FQFRhCF9m9t5+F88voZpejkTOjq
/Gadp1jdM3JaSVwQ7Iy0Lg99Z4p85Uwa5YFtek/OxHWhD+bhmWW/cUue61VrdNN2pHxlQjPQ4TCy
KgZVlfcfftp497FpwkRxHay2YN7YsHmU8Q4HA7scxit5g1AKH8UM4ug9gQt/y3T1q2kLgrVk34lz
mtg+3KnGvWjaGR+1H7hk/YEw6yl3Gd+kA3fTZBJVyDzrmjaNWsmkp1C0g/1L1jGAEEyvAwb7pgOj
S9u9hdYhgJ1C5LST40BEwSvuvZlDZ8iRJaXDiQJ5Qk3CtKUBxSJfmKeS7snnG6Wqb/YadOHGxBAQ
4SwKmp3pkAxQY5FgaNX31QeQ5+7E7HCISg/R/djV3REHMJQItvt3009N6DhDGRjrwhyRXMWCg6yf
M7dyloEKBoTNdOzsjlZOpRx4NXlKu1eKTylcTCxp2RuH2IAQ69IjwRJLH+PUa5hH69BXUq/6Ln0U
NTMfJ7Smp8zX7jfQev2DYLb+CZUuiQpeoa/rf1wPt16YY0haHK0/VMH8Ep0oRQ8tUo4mxIJSYo05
izHACJJpqqJ32GiKPj1Nhmn+QGkaVNEkYwAeLcwLirQQdlvjm0cuCs4xezDoH+mMh1n0CTsXvLdD
2wnpbmRi1xJDXzm/qqCwmduk4ZawDfb8WqV9FAPSi9dNbCM/7P1sOQ1ZzOrdTzahrqHXweXqkAiJ
Yva/QlRd9PJMJn6I3hp2KzuTsbGysADfySpL2xWNNkhTecoutqqw68DZ8wZH3YYaLtO6KFzC47qm
CdeV51rP5dgyR7Hr4khiBOanPjaMA032CiQMwdn8wcRDB3Ejs5+Z2TrlamIg6q+JaxbfaszqO8kE
9cLmxdmlZLtE0MPWfujNyio2vr3oN/rNdgSswnhKrtVVFfTLdkhCtG8u88FoymBPaRRGMB1G+7u4
mpN72n1bA+FounatYYy3AhXBOqQ5fFwq07rRMGDvYF4SbWtdm+QVYhvGNHaEpMfiyRptnEHTBXDw
vZN2E9V1B3arbm/muC4PgAKMqC8sJGSzGn9aUkAm5jhxZ19X52SZg43vm/WtMUp7jVq2vl1yAUjB
GjrzDc1kdtcR+3cCBAE3vjfTACzhiGrKEf1bOsjlAnq5vm0KFTBGt4wId2J1KC3f/Colpms08u1t
NTTpOQb22sJVRuwFoWD5AlKZ7hMr9A/t0kx7zuu0ifHKiO2/dBz/r60i/98lmV1DiOyrWOb/bCnZ
Dfln+9n/NVXhv//V/zKVYB3xsYGQEsRkB6oOP+9/Bit4wX/h5jAZTVv2v7KL3P9WBtnuf/kWzXI2
DVJ+rhqh/60MMv+LtAUHtZFr25yYLff/RhnES/zNU0J8ELQ5XLImJhWfe4q//0ugQWhnI/EKZML2
AgznCkDv/JradEX+8qH8gxLo94QkM0S5gPSIkYhnc12/vUxH9ziH5uJFnluMH6NpBFu8aAmntL4Y
d0klx92fX9BCw/XbhaHEEpiwzKuIyroag/52YdVSYOOLQRVYV4yzZByS0jvANYt4xqk3dKyyxwDa
4L6Pg4cB+ZOxUmG1fNQzU05ThflN56XOjUV3NCJYLL+BfTKdqmRZbi1dyNN/eL+/C6WunxBfuSuE
AIdl+tcv6i9fRO4bxTzpGklM3FTfE+iJdedb/MrxG7ocWFMEkb43rbKg+W6JPv8GDDS9zAlUMDFc
+7nDUDzXjYYKo2EK/Pnt2f9+n/D2YJD4Flo17snfdFx+SH+a05EXse+7p2yxmH1n4hqG0E0pHmBN
SExNJ/1Y9gjDTYODR59A7+U9B3tmrf6rDRT5TNl3tCxJXWdcNA7FCnfBAKPTU2PxjuAu2DGLJ8IY
qsePIbEYws1KPvz5WtzffVTXjzpgtw7QeiHduSad/PWjDrJlMnsw/JEcyvR2Fm2wnrS2k42WQXoz
tbjyrkA3ERlNN30jNAHsVFY1NWQNAnevvdC4DCjg3z13dNhLIURVhSHeNDHDXSdOfpvZEBqzkSmU
kQAcGMZD36RpBNL+XYor2jkWbyEHgbveII+7RtEAlXwvgUwfirb07vDqUEMY8QIMIZ2AddiZFW9p
mROLhQstoqd2RbtNzokdMv0OPEJs2W4ceRSe4tCT02DDlmqbR078wFWgLobIARh2vv35s/y3eDA+
Sw50Atub5VgO2se/f5bwL7tCdLOIrNipzo1Z1Nsmn8wrWXnnO9YvtlV9Hig1u3VFoFe1xxY1/QIp
1/5gYNOfVDKNHEoo4Q8T4nLEWcAwqJ1BFpP9Ku/xNcPBA/2tj4ms5u9wmKxHmpWQokrkKZZTJLdy
gbW1Rl9srubE1LdBMeTbfvDM/3DjsLL+25rCk3ndElBsCh6F3y42ALbrXx+CDkfdXVLZA0gFsAFg
/pv2HmBAuFUWo3+07WzqKsBpA4yMAOggADi5uMGz6MT8s50S8+vP38M/rK+By3eBDxGNJyk5f39n
ZTJXYynIK5mYT6ydtvmVjvPB7SGY+Xr8D/Fz//AxBG5o26FpEoHDkv73F2vYH7CC9SKa585/M4kf
vz7F+fnPl/QPC+LfXuW3p7QM8szrHJCMhZNlP82G3j5pDEjY3b6et39+rX9YEUj1YY9mR8Vzc80N
/euKwC2ZS2krQkOEYx8do1q+EWx6t27r0KvQHctuTVQyeW6mWd+HuAc2f34D//CRhi4iQj9g/Xf5
z7+/gcaYhFSpEMQW+eOLNRE3oGPoFX9+Fft3HbAILA4OUI9Zwm2TScjfX8ZmyQ0geOGqFu2DpE0M
AIEsEaQBunpqwuysayhMevq+Qu2HtDTOYAfAgi9NgIlsmjfhAPG/x0Zy8TqJASMhelpoinKJVGHG
mSKJxgNjkR4kVPKrZX9pN9WkftKs+Q/i4t/vD0GAo+uyV6Juvp6rrlFNf9kw8TYWCsqKHym2HcQg
DN5IdUg2iwcJ4c+f2799bKHJ3uw6pOxg/iWB6u8vlS70mv2BKDzmA8lNPBfGHljeeEzautw6XUzI
k4/h7M8vylHw96ea1C3WG45LrKy+4Hj299ed7F7YFYLKCJfZE0S0JnISLO1hrKc3BwKXxyC0ezBQ
1LXJ9O7T/LraR+zPPEEZR6Fx5Oyzovr0mUF6952kmmJxu4bWomTrKTK7OHuP7e69IfkjI51vFQSU
+gCw7ZUqe1ifkz6IYsSg4nfmfehNMEOrcoUDmPYZVgeyqMzZ3KKpucbSYH9IELxJ2yi3vkZ0F1Kj
rhxZXQZ6zhSvYAV5nohbXbPoHwo3QK7TDOfF+3Tl8l2bS3eulwpfqxDJW9cYw9lQub2dQIlu4iW3
VpUKKtpWPnGTgH5gCakyf5+vtCk9ZHW6DnU3ftslcyY3danQq95x33VmM74zqycp6YgGu4HrJNDI
+mJs10aoUhjaGEn1gZsIvltfinYrVFFEdRaSQwVneo3GtLpzVV7cW9ojbcHOVU+kF2Nyi27Kz84p
ghOIHjy1uKpIHC8mMnCsMUbAgX1uE7NLfYBlnKKsqxFd5vMagdQjgdYwAZXDkKoeoOGtF5XOR7S4
7iVOR7X2sznShJiE5GTAK1p2+Ff3JFQMyGNm7W5Ah4S/5gnL1TQ8qXH4mXO6fMnsptiiuauiMBhf
qxTyWqW7bTf0BNvYynpRee5cxqIVNCVkU/GzStrl4RIiElcXcltedIJlcARwsO8lCu4U7caVTkQb
B1X9eG71onfWUop7OPvVd93xtQ1tgI0pTpNfWOTCXXKl15oqkBcySay3WsnydcqcXZ33DGCyXAf3
TVPJC80fmi46MVNsfrain52P83OZLDTD43l4lnTk1spo5ycjjeUObnxxZ0iV7BfdGg/Y6rK7gXkG
vEjb3Fiq8nllT0IHBIQLw8SMkGVbn0YMIbGBCHRntzhHU749Qniq/pIO5Y929Ocf+fUK8VMauzYe
75l87pbmybSwCAfVfFbxfIoNv9vlZj4dGgLcvmIa4E+NyS2pnAGl5oCMJVD4Dw2/ZMTWKzxkIYPT
Rifi4iuIhYVqlo0pZwuuZVv/CsxObw3MZjcVeJAzitWfMOjfa5MQRlTrDeNYGq76FUlls3eTCSfl
TJs9dcB6DV0K+XKCdoct/5XR4qsMJyI9e2G1P8rG6l+SoPD2xOBUu9CZm4joExvg/tThPmjFpg1b
b4/GvNzit0+YF/KmyLdlAt3Wxgn9DD0oC1pxW9QPrLB6ryo1wb110Bh6dbIj7xbN8fjTEQmxCwzE
O6Q79ao2HU0sR8r/wET9cdRhEI16NLaFEwRn5Ix0YBsjeHSG+UcXiOahbCfvLAZWBZ7BZeM62Xgo
K3G/SNO5DGnFd2IPUBvpyAw3rtVNPFR9uk3DaWJyBebKbuStn+M3K6Borf6VwiDiJX3uMTjzZ3I5
mqbiAhvVrUHe5bSFOkZwHtxXYaX5ZzfQ5xsx1d0RHQvxZ26mUy8MwPJwEjZpmcMeyt4VsUNbMgzq
DYQUMCRmuylGEs80yb53aO+d1Wxo+8uZ8oEWv8o3EMLMTYZ8+d42KszgMaWdt8X9/uLECtyAkyCX
SplLWH5xxniBPSCejxZGjsHpDguBccR111yxLC6oEkGHzJn9DYm6fJBjzkk/mBYCOjubviLMkhy9
rndubY9mqwTmQtzRo0XCB1JQG9NtDIzQH3b1IocobG0MCuqY0vZGbv2jztzrlGV0GWJ49q41zMeG
PNou1eOpFtj/p6HJ1UogZH/rF5jnUk11/JFQno2rNK78LYqInup6aY+91ROFVTmR7orkbliwx/b2
ZME3dxa4ko0uAJq0zBwzDJMIz2sXmb57jSeJ6c85hCLmeXFsHGO8N6xMbZG51Ldp08gb4SGUcD11
QTmPDIzB52fmtg0KCbPYkaKUvUBJgyKr3ew2i1vnjXdN/i9hh2SJZeUu1MGyS0HwIiQ18ht1NdP6
Hjtna8+K50KCwiSrbC3JiLidmaVtQKtVB+lgTrdnQXu6LcxTOUmMLIrFO8/aS2v9KlL6CAwE5u4p
6P0aSW8q7+2pnB9wDQRHCR7h6C9+fjRdZwaC2cev9RLObwNc7XVol9aDTpTaAV1jL0ztfOe2NPKD
RizwjDq1ZRDmv0mEV5ggw+YmdxK223S+N70i3egC/SGdnT4yudpb0HviyKycECtnEBHjDvPJZop3
KbPeoa88BbdumBCWHubJaawC/qsLR9wc+besFKBIAYuBEERzzy0aEev0I6hEuq2RiOJNR/8O/Ycg
JgzqknM/Y9f50KEBdAg2lsOZ8Jyo6rz6PJUAQBKydvu1JT1CKWmOnxzlNQ/9kolvkanqDayiWMON
e5ljV2wakJ6cDPpxJ6axRUqx9IwfXYJoDderGEspnD0O2iLXN5wNmGZ4oThZHpGjutdYgjIct/Ab
0oNywCiZs+uuSguRzOJW3Phx3xpyo2vPPQCRXA51YL4Gbu/fQxwbUX0axgUtYHlaMvXtdQAVzaJ1
OAGXbf1Yt8Od0TlkRWE2CdqbpFiSe1GE3oZsJejWKGwOo8PnnAByWCsHoQXtqFOXEMqQxGsOavG2
jasJlLI1pxESrPA8EeV27vsueabERA7BHNLahmhq0pXfje2d64Txi9/61kNV9ebJ7id5A3BSn7TW
3XcnMhN6nkrTp6nmzRimK3462gy/AiJubooMH5md8u+sODA2LRorC7yXNLcI9RxcW9qZP+2w82+r
sZsNLF1NHQE3qB9k7RMIp/LxZzlpqHe5Y8gj6kPQfhA70SVamfVsxJxJCPQMAwSb7Ncj7R8irz1m
o+4kgbYGg4qfXGkNfPmII1YdXo/drBzgf12sPLlSKeRcmvvlSyNCjT5rKcllJBAadQgz1jjKYdN6
K0KbwzukN+PWLsgDw7pHeDBmGPGeKLYgX4JPQrzg4/gyjHlVTDgtpqkKT+SESt68iVWI80zuRKM0
FMx3QlLPGvcWR6a2k2c5p90pH9HcessPmDWvA44JEKyzfdMmMSaxYUFaC/yzWyq1ntMCrYCzNBGT
45qBM9uNafv+lXW8qGuLiLStyiMwogyGW9tprW0KrGtLJiecLoZoMKWrWB/GdNqCRN7kFaMKdtcM
tGqFKbmb6/wIxkS+1Ho5DvH34voPwWQ/tcH4aan0EMzJhyi6t9R23X0FgeOiRjPYd2aNwsis/Nty
DIp+UzYZFjvTAgbQLHANK1O2JDOFy74qjcGiFWVzTgpEDS6/7R+Nrig2FgAKUuekPdwVNfT/VecJ
gUyPkKI1b2G4V7FILmWoH2Pm9/vGret3TcJgs2onSGK0lqafYx73j0vlq92sGyOqpfTJJ5wTtBps
e9/DgGdeVrAnE9eLV3HtyB1PcoAQom0uAbLo/WhayTu4tCu6YECI2yQ1+ZUhbN1CXryChgvjqgwa
b5fJg49F64XZC5tOEIwOasiEebDXLNSsJt6gFRlu2S/+DQETUDrISZhBnq85xqQumnUm3cUU5BHn
/+7M0ChLI5dWa9TaIeHUbmqgzfOA3DJa9HfYznuWXLdxSO6xjW0NUOzR0NfQB5+m4XOK4w2QFzM9
WhQNRgo75OGG/kgkPEPfeLlY+YSGp6q/e5qOW+305ifPMPoWZyLyBCjgPcFeSFz9kJxTDabi4NSB
cTJTJyZAXbfFqUxVfG45fOAUKOp1Y5XNbohB8GSOax2rJGAiZ96Qloc3bEgylBtk07qj0TwuAig1
apL5khGlSlEXeheMy+ZHKsrwYSCK4WT7SCL5kcnXdSn8qJImfRwgrQj+sLCObc7AW+ZG+Owvff/k
E+1GukeffbGwlHdQzfTzZM4ZFnbI7VsLDfDHNNeEqdRpsU8TyLllnyV31pKoy9hqEuNy6RxkAi8K
6CZpbgZpEJkc4jOSkpoHiN7LhPHpWHFge63CDF9Bi0Rxx5lHSsRs4IOCSod7Nfr4MegyZGc6g2Q/
uXQGtTFXN004diRfNlN3QRPh005Z2nkPNJXw47L3fk6WstVqyevsQlaUvKggnwmuNCbbPgif+jjF
+UdyUktTdlVnACNVHtR7AsTy166r2neVuyaKWpPBwapRixluOJznz4MlCFEiDCZyKxLjVn5VUdgE
4LdJJB7TO4MRbGQJgo3HGDuT4VhMeFF03bNN5tvWwdDPU6ISFETB/IKxt36Grke0KXJh0kmWmOKw
7u8K/yp8QyKyIg9s2EsuwVjJQNa/+K3rrSe35GgJ0Y782hAu90RtFYgHA7jOBoIfpxBMnGj8EBU8
W71Fw9Q0Od/x14pZY6yjcRntszVWLeU9Bx5y3IzxU6Rx/l4L5qFRbIl+XDc1urYHWFn9rlRgpDbG
Mg/E0rkdK0MyP3ChtNAl2F6KKjJs2NTnnfa9al84hum8VHHc/RrtHKKlTeewvrFdhstrCgP4FiE0
LrycseXPGzhRLfCjRBnG2RReHxwt4k1IQhDibah0tZcLArZycQihMTIF+53kCcbzHqGYPO1CIotq
quncq0mxFCzLoCGVZ2G6rWotwcqieReEOMuIDOfZvqW9F5sgVgSDqqDJl5WYlHHQSjSnwgm7ZzQZ
+ZoBPwgedU1gMgL9a5HhQkQ3Qp4bkEfVD2HJcdvJki1yZodF8DKNzm2FOO/VRsz1C1MV+qZFGN9c
unofYmSpaEmh+bMVsgzw3bjkRQ1V0N6JIJnvusYLJMKQpdyOYjRv6YYlrOdjVU4bKLz4T+NGnjNY
7HcNupQPSkvKRX9SwY88b0Ht2izcrwriWREFznTM+zRo1tOEWBKxqyexu4RoeKUbvzFS4rkay4xC
L2se65EIqPiawLclL+dHadOAmjpm7L3L8IR+5i4fl5uimKBJLbTAAPgaCa5GH9H6oPutY8rkKBGb
nQuBJBf4x9CSxTPigZrrpYcyp+xIGlnbR0TctK9O7o37nO3rJSHAo2eFT72cK7Egwy158dlwXIqm
qen3PKoJirbBupddbngrdsA6WGkkEYD4NYK9tdZzDFjZT9kl9biccsuiMKAa/mELFRzoriZHe9Q/
O2v82XaAYigBrihXC+EXkMegcdwtRmVj3Yh6eGllktygjQxvczfJfo4+NlaC8LL5js4WO0PFwRpU
ne0PhDNYtEHbDIuUlsbPLrwaopmt/UK5NHVf15dAoQKpP3zQqZuKyMMQhGN4zCjtYVhhJDXxSK+k
ReKxG3NxzRxTgi8vom1Jbi+W6UeGA65Yj4HuzzBa7se0FydoMVuidZd4k/UaKneIoPQ4wh09tJPb
Y3ie301+CkxswvTAc/nFDqkTdG6WCE0o+vIRDPThkh2Oune/DSYIL77zhnSZK2cbBjyP2ocZF76k
unJe2J1AhqYAsvIYMYkBLIVUkRxuS1mQc2YtJ5xx6gh4YsTorOT3XGrabdVg7GJJrWvoHP6EmvoY
MBZqaairPAeGJQ6YxqiaJZsVninNltwXtt55iA8x5nVEE7ZeQ6rgYMu7zjbqLRhzH++InYDMTBPr
Eb2E90Urg1DEKQ+I8cJ0e1iQHlZxm95b11zM0ABT7aNzOcVY6/qc+3D2ZnxdRI7Ne77xHqy27TJ0
DQCsD2l4bMbwDUuS/wIZx7sp5lau4TxZtGYrvRHsvTcY+JwT9DsP3GGm3kYLt0QlqmrN4UBGth6J
9xqxMLthOJ30hJeOXoIxR6GTMq2rqa8u6P6568ZpPGIBzL6SFtmOLGPQW4IxGmrW+rnyRPGUoHF9
ILPNf2Fe31ASZXGFPnUAphskCKFLgk2ATdd98BIYGUBBWdqP/VyH1LMki1ACyYO1IMFDnno111xt
26oY6zU6qp70Yl3Bt+AsuWObzjH8+eYE31uQ4PEv9bzXzOMHy6jqKX8FWSphM3G0hwrRH5hCB+D+
OyWrLXC/4aG3AnNPqlbcsJoGaqLsstEMh2IyLlk553eqaWJEvFW/SxviKadJeLfardV+KjADBGrJ
sTx01EDdNec3zuU9iLV7JE7Os6VJ/mvtj6zxPsMyRHHaYIxYceJTkQdRodvUrbcmJOrkoSbbJ0lq
PuD2ctaQVYObap7KU9YVTzXi0hVpYukvZdnWo98idMYrFR/wzy2RocbH2IaoGcTe9DBVk4lPXBR3
mp20Hqo66lDKP2DPSB69pap2Xd96W7uiy0xD1zlNtTvsBGZDnLRktDAMeScGDuNsUho7jdIHVIi/
GyCSbABQ/eqpVr5nMA4kBOn1MA/kSwgwjuMV3oTc+ED0Li40vDc7PwWjUcLYw0pCdyBanCV96odh
CwghclTNd8ysKzLn7suFQHdMpsk5B0PfQkQuXPxmBitpTf9p58bmQK6iaSjEhcSS2eKsyGVEq1rI
cd0KEB74MSQcKkbLMjJVeQygEi/SiMK8hr1rDFeU5Dek5GQ3GNo6zDUCKLJjvAtKqXXT4SNd+r0h
qe+gaLrHVqVner8Ns4NqR/zDpTEExhBJsqq/UA7bU0VGrR7nIw2w5wK3RyJNf83gYW1nGc2+cZAH
B0V8guKXWkKX3w45oOvCaT+WJbm1LKqKVZI1QECAT8OykoHNdmAQ0U2MjVhEdsBU2JEsFqpK4s1k
ksXRwz8KA982HBFjhdPMXzWOAERvVTlNSsoJQdb7R02q1LEaC3fjNB5F+6C3CWsu2seEyKwyI/iE
RKdHqBg1gWwpEE+Qfba3xe7Y70vYqGAz3QZ6u5EBLgFsId7bkZzuT7xQhEIGLfmLG0SKTw7YGWqt
kW5bMRMLwHMLck150RIEM3kKoaSV0WbzJTbc+FFJLATZEDbhzg/sQyhwPiKOv1HChtRVj9M074m2
yz5jP2ZX9HNuqTazmvzJyJBeu1SkafiZQCgXK0s4/tpUqREfvYz6BG2jZ+H7DvPiEiagjMh3DfJy
PQ/MRxjQkt8hrskEhQbKqGBkzB6YLQRpK+WhN7+up6EHCa/NHvJpLB6HHjzLmnWDQKJ8oadJxgsY
EC/z/HcJFu5K5xHfBDHB13fDoSIPknNzR123thtdbhe4WGRTzBZwDcF2X0LkYqyTjFSLMQm6l8Bo
32gUg2CzJ7T7uvdvMAvQw8c04bq9YLWCz2o2kISkOjtgdshu/kzNKyLdm84AQWDO1WfHSMjz6o1H
17pCi9ykTi6CA8mJOy6FR5QrKmKk3V0C6WG2vluhsQ3MttyXONSYLs0K+le4I5T+gwzqB6H0Gyhp
3ROtwzGDuDB10JDtkyDpd/+DvDPbjRzJtuwPNQM0kmZG9qPPcpdc8xQvhFID59E4f30vz8oC8t6+
9VDA7YfuBgqFABJShFwcju2z99pe2VJB44IGU5SgAz5EbIykczHZiP6Bd3fJGzJDJUvzuthyDOCk
2tFaEK3yZSi+l4Eu5NZzzZqxB+pN7K46DVrd9wYblwnAFOjiZnwEKNA9RxgPyXu6iNT0P59TDAx2
nt1cGmy2YtJiQyMwIoWpwvCN8wI9QrjS6HoGsn81VG73OxGpoX1GzdNpwRBN7EVmKYNvwlq46Xjp
FsSHWFWs4UCu5jQKDrMtetDiHPN4/hTV2c5L+diMAcifEf00sS2WIzJ9N5El9vPAExdtdbpJKtkS
G5yWt1lzaivWrLJQNhQXy61qi7dxFO49vVphtDOdO/+mJzs79EzHN4Qq1NsMOBTxi7UeI9Ei11U6
B/bNlFvwS7TmY8APZqX7wkThrYs09MnZlFMI4e1zAjMCoYLPj0/SirXYhlLkzxzhCBeRd89mZz0W
VAh6gcW+wAzZc9E1h7avR4ga40tnioZPMHpmgbyvha8PObukbb9ATbLnmQCBpHKVeluLnhRWijxX
kmcywzAm/ZqTCfWEyFfKbn/KJTnXjaZlJZn32mk3mOarrcpGXtkI+WugvCjw0EtjBwqVwWlDd4VT
Rzu6F+jErXDDqI0nkz+cHv88psZ6PBScP9/sMkBbVV4DwdZpvujwIlE2OVwgY9JCfQS8PDzmUgCm
gvmcAV0i1RSAr7/WsU+h06RMu+8R64K17V2ab0bdrIZSRfc4+s+d7pkshjo5sjlh5UDx+2FqAxrw
WrsnEeHRu/WwwNI4YDwbDbhj3zn4mQ1wqrzUMzgzYOuUp+LnIlqxLjHXPEKLHtCJp5oio8XjESb1
cNdlrM0GgPlbnhvWKU+cmiNTU3lXLQhnAEXEi88Ap+zjMGORZ4VWA1qK4wnW/JITF2UUc7wNqQ02
FpbTv2QG6qIPyHMLzbTdj75IGetobdX0Eq3GWO5B5yxmxaHUueEEV63ilq3isGma5b6sv0yaWN9V
NlnrVvfWdXaZeMfFSR7w61Vnl8I7ODN5epcuizpwK7l3AXLQi0fKbusHltxQblty3gOZSJmRs5ZA
WddemvLcouThGp+Tx1g2MDuHzXjiiTvRyEIBdM9TGlYSjRFzBSVnlTWheM2RGwgU635TZ0G8KRNX
ATsKkhv6guUn/mH4pah6vDyyFGpOT9/XKh5hAOcxZVdoSO7mwqYhDWt1b20Sy0fB9Xkf14JLKXI7
dIelepBYteA2OGrNm8dsUh6yCFSDd2UDX7qU7c7Jxs8k4QoYmnuC4d1rE/Ksq2yXhT6MV61Xs41z
elVYPc0leUlAoo403BxdxZ8ePtp3OfjJ7eyYBppMZq0djIr0qWK990FmrB07UnxSOamN0p1PVNzw
yomqgd/OWDX+hzVa73TafUeDdm9k4N5xQaHWoyati7xL72JLFP2mhyDJycGLaRUgMVnn+5pTb7+v
eHjG67g1w4HLumF8dJFMx8KP6bpJomdN+nK+vIgGe0M/w0ysl08WywDoxnIQMP510X46lPW4aO6h
drvbxirmK6qJIJ5kFuUp3Zhin4kpgLunr65+5OpKXrOyFm+j4+YbpU20jSwZ7cIqXG5VWRGB1D3n
y3AeWDvnAsBo5HTP2eIgTPkFpTnpIvyruHXA5Pkq+g7oUdvUoZ1tSWjNj/Rj1Ncl3ac73hb5VunW
HMvJrjmP2oPD+kX8eUru15NbNieLUumNE+X5Uc4Rlb2XSvLLO4Q8ae7POwKtyxmhBfJbnFkfWRSp
F9cwaJcckg7Gig06LPwPajiTnejUNnem/ssKGucKbhXATu2MoOhikVwTsZ7uuCJzRmqvfa/UkH66
QY6WHkfLo9bOMMLW7RF1ZtbHOBg2qMYr/I38P9VYw9MMS6sn90H6ZW0PnXkUU2HOXlY18mz7YNg7
KIJ4l6yx30LiTw7U8bBBXzL7bnZjemMsVQgKVuN8W6sOj4oAmKph0zzRweOc47piEBEa0SZ3Ru5n
br06Miwx/SV/jtsCC4mFhWox1Y1VWc+6tL5drJ1PRW01D1XvhTurmpLLVHtpYk+SF9tqh1uqifWT
O2XDgzUPFXCc+xGpded4af+WVcrcSeFObzRydNsUI8rJrRJ/3euwf+Ox8qYgItyAMWY+GIvs7Gae
cypzY+9zGmbuIrhk61AO2dcwhGbXwPlftwWoa4dVAYA91z1wNkyIQtUOFZzYP+RVrk2zH1p/eS+i
5kKinxfnk7JD5jFzwWjlzMknEibRBuwQuqxXAhFSlNJGlEiC5LhYI8re59EEEKKoKaxmLNy3ru6P
NQ0v9IMK8SYDsFwImkNYrJqkEPeIrcmJVLZLErxL+a562lW1nV1Ffe7e1box24LOhQ2sAthoAkkj
LX9IlezUxDsjD/tpzxhNyHV2PQDgKZn48BIkbBSqsfKjdz+Ov3ApffuorTCc9S4JxQ4WUrJujAL0
1lTfGYA/Il1UhyRtvrr0F9XZ7JGFGoiCRtcjUNmJrjh/WvRmojibOPxsszeOt9yy6154myHR4iof
6sfZiAOOobUGAnCYSeSt5Ujdt2QrBGpqYpHl98g9haGsyLEOC2WJuesd+nS+9hrU71koNkJ8y4Oh
LmrndRF+5HpJOEz2ffpb13O7s+BQ3BBEyh4d9l9PsuTEWC0JUnhRif3/WC5Ao5bV/VbDf/iw4ti7
4Qhs7xa4EfuSxM3zn+a1/+7EyP9F5SI4/2wshv86CXLXl+nHH38Pgvz1JX/FQNSvi8GUl5QLm0t5
Nma/f8RANKhXn6gHWSMkU2UHmEP/CYh1fknGan3xhV5CIBgP/8mHDX5JzxE2Xyj1xfPr/DspEIqv
sBL+vVvEZmDmJOEEeMT43wWJ+3c3ZRRxvktKp9z3/WAOrcj6jzJhZxv5LpkoHGLMGHST55ZXnei1
jrl8y+iqnfyU6GcJgR7T6QuUJfkFKKPk1tfWTgvb2zhUnJ+srIy3DGtwD6UMjx5dlCtSCh+q9+6A
q23cHq+omooTCHOmMDznYAgx2lGxeHaR5tfDkrwgY3+FsO3cQRbHzNS0Yhe5WLAUZtOOza9ekz1P
WO1pYmoyAa/UZHF+dBevvOHmXW5LoYtPdB0UfrIjf2CqIT+Ye+NtHcwWD1krQv5QXvTi2INcs/mg
DXbuE/xSYfYb4TKn+oe/lS0uegKw6PprsAnweRTMvXqFGa+s8hKIUIIpsCzuawybH5hiu2MKvOBq
bH2c8JbvI3dIpF5jKtyZjHX9XZxP0wEiW3mqwLICbzVyWqsSiGMM3uZ5Zg6K2ml6TFB5zib2YIuE
EOKsQt85Xjk8UzwSfTd50r4lavTuCxvPOXd8QLNDg02q/RMuRxMUlDRkAWd+oWuguYtlIh7drJFX
PZ/1qSvCBO63X76M9K9hB7Xd1UTCfcOlsW6bJv3g1Z6c6dWAbdIkQgSratTDIz7L4ow29B0il9IM
lcGp61XzphIIPhatmp/UZ//gE/KXjQ4m0kX1IYvlsQdXt4XQJe7ZX9uE2rFXpgSO30j51dcCkeTk
Fq2LoLjkXx6JULrlL023hiZQOGqudcbS5JsVZhH5Wcu+2dfs2xCPYzwBcTseCxvU4Ahr7ABakgYu
aGdXorScm2bW32F7Es6bm/I321AJHo1VVMdcGrNZwlLTHZj2NVDemWBBgdhO3YMoeIeqKjsH8WL2
ASuvZ4d+41vEinYdeVXzSi/bfM7nINxENnua2WkgUdH2t6ZRgjEauCaUXuUENwUEZg4MVY1JMg4Z
uOnGWuWW+qHjwD93ve62jdPANOsaQqKVM1113MxnnPjPFLBBWMkkLspEU3E1t/opYHbcQXrNP+CK
0LdB7DJZS2Wxbs8isU1bij0ahOLdQg/eepp79MLZbjaqr+wtBaY9Otnc3BTIugen4X2Up3ZxVdCA
Uk7tvmBRutL+AhXJDz2qKn0CwmoFpqPeL9FluU8XKKSzeUCbGcntyHjeCy9HmpOTTyeMnd3XVLrt
aoujYga5CtwE72rRqr0DqP/kO7b/ngGVAf5hlwONdc34oMr6HQPQH/hctnIx16bUnyB7QQ9Rr3Co
rda7KIchD5/LdyxaH+SNGHOYvA+j8R58kbAMzHHxQVWZsRnDfnBH8CxhgqdjSoovV1bnNlkm3tdY
PUSvrIdK1f1rjJRNRj1b9m2m7FtdpR2OzVKc7DTqjpVxvW3f1fq787Nwpyrl3rQ9IkrMAXYbJjp4
xHrPpzp5Dg+PYOL0i22mkhUZ1iW/KIkzJdfpUk+vEb2NVxx94m2eIcU7tq6OkyaLrbPB7Ad0iqus
kog7whh1ZRDJ9rT6LHd+tMhdpHFuhJea5DmcL75rftv0Y8drCQxvJSxWs1nQQLkLCWbV8Kn2Ti8Z
az3l/lGnAozUnFXzdddCICvsbjra6N2vc0k0ecACeN0F43C0m6k8lvlIggsLwR8EkbrTGDM3skq0
sYbC0sORxuExHy9VbJMzus/sDTWB3Dmvt1k59XiwvNgnAMuDj0Jv393hvLkAhVT0RS7vGXdPs63n
ZG/lePv4IA65V+kNLwz5NpTkrMwIqIKfHHoccK2SaoSZ/p7FV+lbGxX0ARMUWWNC7HZVlfqbsM1R
AFOHKIXbxpiQgp77v5slTUMioQlY2neGOqXM7jloRcHaIgq/SgN9DRIIc6Ib029Do126cJj18HuU
yzCdZMW7G5yF1z0CYibu3Y9foKuzw1hdDN/hwK4ruU9dLEbklifGKg5ziYEp1kHF2bsc0fau5Aku
KWlYT6HbbPtiGTiNYUIe9DModorgB77BWmT1/FbThEJLQ1jQIzDANcKK5IVrG8AYOK5239lm4YAW
QjRj6fFgq3wA9ThRMTdQuhS9d/RiTnnyRJLv7ADwpZNo5IQbFVvTWfYKUDa48slQXUTrx3GqMu9K
p6qBt+56r7II3HfjpuMmIX4OfCphRxDWj6wraHlp2KOsxTDAmizisn5j/mURq+buVhdzfaos3X0X
gWetuHIvr8GZDvGsKHdGqgBl3wQPRiUY+ad+q+z+rYekE6YgMkeaQUQR3VRt7PCaBVweolLiYqBM
3d6EKQ/VSdhHq2mi1eiaa3eaCZQ5tL7EGIe81N1X2HVbZH/ILymeNSsrMDixZG4vLogJLozj+TT1
5um3MHMgd6pE41nlxmkf3WhsQMV+68kdf8C0hGcYiOQtQ+mcZNf65X4Yk05tqmrsPhZeQ9/pYnOM
Bm55B74eIvqsaIza4EVenorS754yMqkWNURZgUKIKfJ+HmiomGvZ3qBpovvRA4LVyJntFx49WIYx
X+xNU5rV6MzjHuyI2CyYPzb9ZTc3i1g9gtybrgp/Xoq9imZWcSTVn1C6eUk3/q1vSZTMwrde2GFg
IK0YUSK7/s7raXqqCw1H19AHTMyAt7frFsG973GEQTqryqHYIhafARHvFEDBVef2b6Jrn6nnMStc
WO497pZqVwbkrnjtBTdlWMTJdoaX9ZZKFqkVY0Uks8809vYwhg6LSU5dog9jN/bs8zz4SPgxoe5e
2ke2Eayp3KRQdQEPC7s5VLK/my37IbPjT15oL2M74HX0AFGOQAqiqNlFwkMTT2uu3XkRvHeZwqgG
laXSmxQd46Y23uWQV7CRmUGAhnhXcxlGUCQnDSA09nqqv8lr6LoZ4UmaFPIsyewnHr/+9byYHgFw
sDx2sQFYeMHU6cVnu8oSrHnG2iTD6B6axdicx/35sUrz5bKmlXeCPIos0i8vYoAtJq8/9fyi103e
3yiAQEcrhrJmLv3HEnAF/n83oCA26TakKacDXmd7XbXWRzqr+jA3eX5NsI5X9GXF0+mqXXEencht
xvLajKG4Y/xujr4enENdjdGxCdkwQz1+78nfvgwhzz9nSJD9s9kaV7rr/AdSiPVtEAqxxyb54ecU
3cqgrcnlsjDGknPVWHADTdO9Nar9gIwnN4nTeSusGdgD4I6FtrBeZVL4b2UxWtuEldBz6RHqUhi5
+HUk/ZrCTesb7E+xZaJU9+M8R2sq3Wy5Cgr0JNVk+aFrGoyVgzq4Y6f4UIvoOoysGgszL6kILr7b
lf1rHXfNtUx8FJ+kuuBIGlwdrWqsi4+Uzd+YGbyTTXshMod4pYoQbDf+C4U3DVarJ/f10IfP5Rw3
93bkYEPAPvfgtrULPwoJghlsfKicvHxtIzR4l5JXYkxyfsCob9NL3eVfFfTpfUO66Ceo63A/YW1l
z8QEXevUu6YNiFQHPX7FR+Ik8TU7LyRZQeryVGGFe6TOGIS6pZrkxdg5r4wcBDwxUVxwIL/2kVvY
Z4xN3NdDhNsjNuYqxFeP/F1GvwEACSj72oF9OhZfXtMHZ8uv5cssBKy+jmCscnvzHpgmesiaNH+s
xsk5jj57sBU92QMfPeprzUmA9lcguMZcXq5lfG9S6JatjBnYjHnp49A7WGYazxru21qNTUl1QGdO
BXm0LfVQ32OJ7sR6N1ZYwGdGt8kNd9mi/HcxtRD68X88jIsy26kTlBgYwLokmiQ0Til/c2RttksR
Bd91FzqbgAPgFUJLdauiJDkPIk4O0usYyNnxHyv6M3lreMEORocvWO7eYfott33EZO4ngTgC05Zo
bUF6dpb2trBjB/FfmtWgu+LoLxlrxppqy04L91rSN/7DD9psQ1ajp4yOJVBntIdjSpl/yIZ8djR2
rXy7pTN49KONaCc80oGAajMgJBYUQ51IMZ0H3LFNI4Ib50LlpNdkWJNzTl4TK50psM3fQXQvVDGk
UOLxxhdyAeRlF/O6csx4uhzy2X6X381ION8vcI90wUyFYxxsarjUL4DfLBf8IMVbMffcJh8UytSl
jg4Ijbj2GMHWDXSRZ3xQWGcre3iJ8L8RoLAfU6TNHfohtU97kTXZMSyG+3RUGx2NPFxmRnLb3lmR
mM8zwJDdJYa/cufpFqzcH1yeEyx8git9hWIs59Zsmq4B7h4ob98ugkRDZpf1WrpcqDmKXNem6pac
/PsS2+eI5+eWqk/iLY2f7KrGomijtqCneHiUgHHlm8wjHTHU2NLsmFJi7Jg4KGRK/7k06VEMVBo3
BBBuKZX29mbRDZV9RBK0Sw6AaTQ6JlMvoNs5PNrjLHUcXMohAP0lcF4dh+HJ89cesb/VkFd5tK5q
C8p6Jg8xEEvfx10SDeN1waMQv4Y1DY+GZup3Ao3cPG4sws82xKRGUk3jfMIsizvIHtL7ohXWw+SB
JC2uWlqgV34X2x1jphzOZOTKc9ql4jdvwPZcWznH3LjlH56CbFktCeVRJOPgMbtL+OKI3sOqyrll
1SUz51Ochmj8bSb2Cnr5XteRemjLKTtSz9ZfkTmSD+7keft+cNpPSP0B/abw8t9B7nSfU0HZC8FN
bsaBhycfTXAKG1EBLRz8AwapeQX/H8B1ZboN38B74yw9vgx9UjxievRwjDo0VYmyWlbsEW9dfqf3
gO74xyw+OTFn/K7zFNxOsiTH2B7E7Sz4Uz+Fwdpz3QEovQQubkpLQNRSYlt4l/RhGEOmmq1rK8W5
luUetWUMFgDrGjThXOCFc8ArM6an3LZ2HehHTVp/G9D8w8BdFTc2+2SnXfy1HUmeWEOUHAjvZseg
hfAZdNXTpLKPth5vljmxkLOTL0BE6ZVu2ptioM/DnifaXt3p1XD48bmHYQ3MN30w/66a0jomKWaq
/98VTaGE5wOeIQz/r1XNY/zRZvFH+fV3YfNvX/lX+5X+FUgwkYEOkBbBdCAf/kPc9N1frmt7HhcL
CzWNgPmXtOnIX45P9Jh6K9cHkCPRQ/+pbYpfgQYvEEjNkVQq9W8RbrT432LUbF/I0/honEDQlHv5
739LinOtpdBz52VPb8zSrvPeRjoHrOPGhMRkz+ZahurVRAy0rPVV0m1rk/nDOppbTnfGoLHhKcEF
NtpjwGNbdnLX5VZx4099txNj3D3AESMAKehASiVsME7ceXKICS+e+AcVm8IDzzQGvRpvZumP07Wq
7PZUYzBJCEACt2LV4MYJ/RCpjvH+aQhYaVzlD1j45AxubJ4pOdGLC16RAiVqaXVMowpTEGICvCfG
VxoB/YMdkNo7ZEyCD0MvmwPhB80paCrfJGSYYN2Hov/ih4Nh6huqXVXk9k+a1Acofisk6Y+bIdzD
ItDp2hoBn6xGXvXEJtUACtZtdLUDngK3lcqm5Jx0AqERdJ9XUO5QL+QQstClKIieSkoPEUj0ATHW
tQ8ejnsI2q2X6Iu7hipKAkvW76oPA1REJozrKqzSj6bok2vj2CS72qrSyWkiobAAepu7EiKLbhVR
POLfqwpj8hsk+/49dzJmOAU69ttZLPcnRni2aLOqa3aIyYzPkoQAyVhmJpb+F7qzrKfsICxnvLMW
izen2xafbhGz7c7oX8y3czNab6bxZmvDGM5Kz2MIv6PZIARe7UUUYy1mgPIaVkP+VMHWxq/b2R0l
F0SPq/Ul8Pyjamox1thY8vdFd8xOPQ2ErO4vrZawKRMX9FuLKynV2UIOLbSCE5DUeifqctg4rWnu
6pnhOB7a9uB2VfMQp77NoTRhMZ8SXR43OXr7lmV6/QHydzrzDqMvbYaszhtRZ0er7ZwtLwaChhMT
qEn8oV4tMy0IHXL1rpKCWnqwgq8cducbGyL+wRAyepnqKnlF0WXZ6S7+uPZt338rwm55FPSZ3JUR
UqLXTQMowGC8TQV1CLC1kzUequyG6TqA1MblydPeEHvH3GVMx7DrUXYSGf5J4wJ0bcZudmP1EQmQ
sA2PtLVWB6cAcle6qtxLOy5eWuHVOIKRkwBQr2zFCGMCEmTDaaCfkS6hAn2vHcfsIQCTSECSn3Ts
OZMnfmJOTdiiGfD6fa4jZhnV99OR84W7gpw7rBtbGbYNcxusReHx+WdOGN0JKZZ71xn8DSZmQKt4
n/fEz3W9iXGA//h4qO+RcZxN2kvxuETj8mJhRD7k+uLEG9NG01Iz1eVLHpfOq0fU5QWsYP/Tx236
onE1w0zpDx4Gi1sqT5KRebJTd7NTNO8N8Z37svDExxiEsmLyQ0YERoppK84TG3J5Tz1KwDMlW020
hG6xsS+byFXOx7ikZJ5QVr1nx2miW2/Is00LXeEPMKSaoiRX/U5ji+ahguPwBtbX8OD6OjzMNU73
pKjyL21CFLOKfmFO/pacb1NdcsYJ7LT+cRKAAZcL4cld9PIT63GsNyCB8+elsfX9XEx3mpb4YTXF
CBprLcXIz4lhFquPL95dN4otrK1TKTdBnodnBKkepp6bPYRTEn0XMUzClRqm+RXKVd4BdbWrg6su
jaSpG7o/CP7A5U3gwkwymQP7ICjpAuz7BKthLqOHtojKDwUE9NshR4KZ06/zO4Chg4PVDYh2K/zp
WjpRJ2j6uESw0Nk27OYuRiriLg4nAdIiXANtOyMzeA5DnweB6rjYEnNBm7dKbEpBxwOxYI4VnCz7
OyArOQuWjJukViTE137nmIfIySFrVDRic5DszWMKlHmrFP4+m3j8yVV5+BDlnvce4t09ArsIf1uj
ebTrYrqmKHokAESn1z3Z/Kw4VCOewMEsDoAsN+qvAIAiMAhrdlAnZvdaZX53k7PfIkYIYJd8xRSc
KYGkBS1dLJSgKveW+1GZaDwgN3SPoZ3kTzFZ999Oao14XiJ9wuFnY6hLx2PiBeoaqnVxZH1TRGv8
N8i32RTcFuCJD0M1yWOWtlbLTTYgIeT2mIBENJ2ydn7SkH8dqVy74VZwIPWa6j5qUowj3aCOrEOK
DySq4MOi0nHfBKSSUfDc9kt0nd5NkCCfBpH4rAeBn/lN7LNgb+tPkpjjR1CnMKUjQIn+OrPgvTAG
g25WhM4I5nU5XjNR/oCnbCFPM20cegvXwNC41rxxpIHtHU7VdTpmLmeVyyc6U4dOoAThqWMhchXH
Q0YDLovJdWv7FK8lE10IK78OGtY8PF5WAGILgRlqGD8oNQ4JouKne4gpgfq57CH7WzalMXU1vpcN
vD11eRMmHmfBHlNuSwM5b/bWtPdlpYtgbSpisViJNWh5JCdcQT2uWzWo7GzMxBAds4SKUdQwAOJI
/aJbOTQr7Ggj4pbr0uwm5/HCAh3sZ6Xz5IV3dpas26SmlloH1fCblJY85WDM94GSwXMQY38XugXz
SpyJAqzM6S/uuHAhVA5/9QlXD3uEpjPpaWnIE59i8HevmC2QnSbZXiVGsQQmrF8dBzM2J8yJzsNk
+87RC+JsFxrbWgsfz9JCAvNuKQ0fSMBDd4UO3L3KoAFExUn51QaqD3KmKdlj+Dm2V798CMLGu9at
C9F2Vka9dk6La7EbXcYhGXmSniaM0DdJHCfnnJq11yoQ6oaBrfH2YVP2DepYkF8Hc++/B9Qe40RS
b7aX13tq+KYNXC4u58hbNuhd3hMOecRsVXD+DVzkQlyf5iK8d325rQmC7mOMY+9lxOnJ4dFJPA9Y
yIn25WAbd4ttr/BUTQcH1++RFUd/xfEHn3xHPD0MrV3C4oBKhDSFZ5CMw+8ZskCKnY5MXu7q7N2/
oHKxQbv+oQ1tn6V2j87dCHv4DqUJtj2lzS2D0dauE8oRXcP2vfYP48jl33eZPInOf+KMjRMRP6bQ
Q/3aenm7H2AGUPQzkE+n0VLal77AimdTHuWP8NztVw64NMCFw3JIRnpktuiOyYOzBMN07C0ZpOsK
ex8dYa7jvQWmm/+osY4nmAcTClTHHAGP109IseryZ8lqFDPokFzQZs2vGQMxXnGWLH2dvyeNGvkQ
A9DnM5AhvQ9TR3BQ7lnrziV3akCOaVPNlnWnquQptyN9FyVe+JTQgEjMyq3Y9XoIxiKtiHXQF2B9
12AJnlAh3UOaz7x6q6jdAYvx6PQb3KfRA/ebpjt2Ixf7jLwxbL6vSSWDAGdzvJoC4vK6jNllCjwJ
bCyjO+N39cZS4qyLRJwppw1XTWuP92FTJdcZ+9xdRvAyZlvMO5YNgEOMTzej3gxh5ez6gvOsmKAx
s9cds61lACcciizqbtqFYXHVcpx5kfiwSTCC/HM3Dis1dWoYEF/6qFX+hrN+9IJRCpGemMZDrUcn
xf/AlLgTTZmzL7Pwf66kw7IX3npwRk6N73BBYp6gW2l2eYhNy5EKxObNKKEoNVTztco1LkC8AOrF
qEre87ATHuZdO37nBrZ30AlKRmiLZDz3TPmolynCFCFbnqhdhUjHKv3o8IP/BGoo8DLDbYR7wbx5
VV4qGzGYlwEF5Jgx7UNddA7YK9fEZMtrt+SpOQtr0xsZYmHKnaZZL3bBb6mLqJrweqpRttp3pUOs
wrM+YD+YxzIK6R/smNk3NfbD20Xn/XsFV4KYJovkG8ARmEh81a3J9zHizHjYb32j8ndDJUu3jfHC
FremjHEp9A3u7o2MPTyxgRWCoRLDhNndLmP4DVMtPCZNLmV2Y07wGuqeg86gQ6igmeZSXRd9c5Hq
c8/KNnU5E4yh1uHVGIv2rU7ZPpHUcQRt40TJMwCbYr4vqnbud14KdtO0XlTta/Z18y60O03eU+Pl
3+QRF8dt53ocOfK8oqTOp8mdl14eYN/w5wfuGYgRbkH9C0WvzBo8/bFwD9jHi/I0gal75bEkHxRY
RHhVYYDvZu4ep5k2Rqap5XVcIm2B5YCtyOOXNXVLegGAVaNwxP0fET/+nwMA48YQwOD+tTxy+mjL
j+4j+/iP8sifX/WX78v/JaVDbjNQgQNy1Afi9pfvy6MY3JO2pCrVBir3N9+X8H95JIlsG4EG+5d2
sYT9JY4I8UtqB0sK/8XjD8r/t4xf/8n2paDoAZhDE+Hd6bv+BYz4N2lEGUm3WgdFhmHpwPHwVoXZ
j/BxnnfZxgq7e5Ton8br2n9cUJ/T/4y+q/+CB0xB8n/+m3HBORyqfBumBD+L8x//5iiWLoN3zhoY
pybeIW2vemQkklJyEBFN0Au3TIJfDsElsZaHydRTjp8yXoAHmPrHkwEOa5oRJnChKL9v1HxXJ2LY
ToU7ab5IEhHvtxWebP/Oyxtukh4D5s6VISysFt7QogZ9tKJO7SjMIgxTzjxCc5z1K3ocbseItKFy
3c+U0/GGUOMuDVxaq60YnlJTYtIqEMcje6ssMKtdPOGtmNoULVcozkPT4J5FZbGyg2JLMap1CT5P
KVZhP32KAp+/D9+G2U+uKu5nCZe/Tq8525mbrOajmIJFLGt8WJThJFnCF48z9l3ACMOnqyzvudMG
pKrpRUTBXNBey7JgL4/lauWoBHtu7RCpdbpLTUGeRi8J5JkHJYeJGrO43kRQJMTo9PczVX6bkD7e
t86OXKwPrWfRysaeFpud5d+Olul+wskJJgIZAVsTuqOCr64eEajmUQGRaQP7eYLcxx8drrFNWLvx
g6ka1KXSm0FW0K+YtivWLuMeNSE+Oa5NYAGaAAt5wlauJdUZQ453a6NBx1snm+VdY2V6rTxjXydm
wpVRT+XdFI3gzRcmEBSYBuc1aL3/xd6ZLMmNZFn2V1p63QhRKAAFsOiNzWY+z6RvIE53EvMMVQxf
3wdeWVmZJdIllfvapUhGBEmnmaq+++49F6sLS7rqWLt6ujZZMBwIrFXb1cB/yNJhuaom07ywRKSs
pG16K975+H5eJa+knRysgJh8PjaMqIEJ6/tYrr0NiZvjaCpmPdAeUrXl1u2bcNgYTNsnRRkFukQi
lteykMCCkHTigU5VcmjUvGCCv+OfG2m3HCv7t2f5ntjHTEx74w3hfaJGApvCWLG31TA9th48vbPu
DRCuoKozQNiGnfOmx0MKwNCHUFDHrP+8mdQefYuzinbKVNi6piGAdtn1pK1r/L/nqOx9EtG119xo
nQzvbSX5IOWt+EEaGGfe4Def/GTSxz6vwjs/9yomm7kAkpK6OvmBbZuxKNVpfJAkJxhJhG3uYezw
qywysYFC5eGwnQvffWcfykp3ydDwItSGaJOajL0VvXXzHmCdPJARmJ9kvTiPFfJQuxttOSxgb1oe
Y+u78xNMn2K+j8fmwUR2+E7/X/LGDFMEezfoajA+RQ5NLyQ9YAZMQb7W9rSnaGj6KOuhf2Hjy/NK
kuz9aNOMApIGdvbOxk9G2Qz8C0FSqbV/Wxh+npKhKV+BNkQPanL8H5VmyAWihwEGY6oDuwlnCUkp
2+TNXldkU2rVuvt+RqndxPAqGb8zlSOgORodNE2CgfbnrgA4qSafZt+EBqh9IoAd24nBB0g6wYZp
TuJ5RmoyxwQn4iN6TMvUEVPIujBU22ugn1MkByIwsnIcrbu5mcnS2XmQv2azFVJDK8hdYwH1608h
OtQz4PLliRENzQGGmT9zEkr/rCse+aifK0ioyYLs3iqL5F4OPlamDnmdYFhljw8pStorf6VwXRpV
skUOGrWPXNU9xcwtO7dxRyiAXvlQ2CCkloahD2Vjan84Pb5DDjMx/xyR/d85zPkbhTdC1V3v24C8
CJlYIBpNTNV6jLqC8SYop9WUO1LeMUz8Ti3QFjpWCOT8DkPmRVNxLJgIqYuitsXcjoMaXwvRYY1a
AJjgazMhJlGBWflnOvR4cWPsxcSObavCHTyL7Caj9/Pe8oLmJZgnEqh9ZPxgH5G1/jES0/1q44Uo
eZms2ZgUtDspPgkjG+5msniYmrs5PtsRvAYWR05+ywtUJPe1AOq1J8jgXGqj4uTYU0QXXmZLIyHP
IF6aGwyoKUG6NrM+xqijzZVlbNfvMU5HB+pMGqSN3ifC77Cd343NgsYZOZWFhWDIOvxQJMIgA9VW
mW/rEXgM6I6Zfo7Z6/lHbI8E7NSBkQJTVfKvBMslzHAhN/Qc3vBJ6t59Y9k3Vt75rzrryoshhHy1
4Pi3uOdUcVpL1To69fT8VgY2h14cpOOtO+QB9Zw5J/VCZSO5CDT7dgPV26cCUamnKZeUViOLEbMl
Z4HdU/vdn1mb5KFTTpNsU8CdeyPC8TYoRxsQEqlwB0beW8VEBhktqNNt5nPtxKqI842qlqtS0q5s
+bq/8vnq7R1+5x/LwN55TKKN9sW61uD59SuOvOLWjfD57TWREIInTurD3Ws8X5widjJsGDS1khQz
M0NqPCnzda3mwt4EyiRvMCfZ2pRBkWaEMaYAip/Nn22KkvmHszjqmeO3uUc9U8dYTPPPmvv5Wsl4
QrUrZPGz1BMrHZy7vsIvpdb2tsxHc5Xaph2zn3OS+MoS3fuoveGe5QJ+tSmS98LvYa/No7UNonR5
8fgifYZYbhl6QKcgaxVHSVazQXchlr7pgJx9LeRJ2ay3ve9tQzJ+jAq9kg/UNeunurb1WQuZF9ct
gbSfnk6SP0uO0WqLWZMgnw1Vgx8cPS0dXiVw9e55mdzVWxqzC5nhCH1wu6QPJGqSiWML5tYEPrNb
il09NNYgUEty/w7TYN1uCWq5E+meCpyN5XQuay/t7San6PkSkHXB88Q2RobRbW3qN3BAhAY75qok
s2taWfs5OfAwoD5ND5ZvrubEVQS1nGSkkc8r1LaM0MCo6gO+h8QMRSKau71uLKpjSxl8tnJwrqoE
WwUWJBrp2aXQ0oeZQF1r1/7Zqqh9ySfH/UX9TVjAWuZjtg9lD1zQpnE6gXThD38CZWVoQNo3eu+m
XvAoHIU1QhuHkSsAINPvkklnfDuJF+AaHB08LYEpNZg/zOZEjqBe1Ri2XPdtHFo+USXcJR5Cq1vc
JfB46gpBmxAhUK5LLnj7T5eDseCcLuIfaVfhALEQt+9UCtRuR8WVweFKy8EG6AxmlJyGwQviqPUr
SjsdbFKkYrblXSC2jZcP705r2EMUNHK+xxZO4q3Tzxn0NYdTIKQRftzYsKieqqAB/BYbWqK5qJbx
ZcxHLGYzbML+jJbusEGLI8bdPMMackPJpPMoKGUNDgUbPEbHpWgpLUPpOw9K+l94IUBKYCfFxFvs
urYJt85gqwNAxeQNP9EKblt4sXVRYm9ywGIbI+YOUNPEShT0OYL8YFufsx03P4W3ZUGJ7dulzzKj
WYsC1KA8uClcPtjSjOZLwy9Go9GdznBfxspLdiXQRFxX844S6uoUh95ECVwWuA9Zg51kxD95kH1X
7P0wcrlyTXQ/Rx4RTp+A7CFgWxcu0n7jk+j8GVN8hJ3B787C0A/vfd1111kyjeBys8J/XCigrvdi
CJMnCwP/DUoqPz++FK8TShM6tgMp+Rj02fwWuUH/3HfYPnbp4lF7pVXc29RONvoPYU796SbYzxF6
+6RErIqoQC+Zbv44QY/XdyFS9ew2mDk2NftiEsHOjL3TSrJtLPkUEhcZq2Rn6xmDqUXwv1na8mlc
OFRop48aGivLGdZDVMXAIqJhmORJu87ENiqf5ovLB5FHLx3NzAHctCJPWDN4LlFFrrGqLW5LXvO0
5yICirPH2gIDmEqfmrzF1j7joV98GDNg+lbLRQs0fZRs9+owc5CaWvTlTVEp2HhFZLjv5xTPrJ+o
8LlGOXSgh8+8BLkoqeqKadFzd7XdFmg9kDrQ4dn99TscQPxofbd+sYeyPFDGkFMWkjfialqmxLAs
WAWkGHH7DcE27GEj6uR37sdwRFo/4lVU4cErWWcI8tkxQYJXoZ3ieexF8IWJuT4hhE1Y+FK+oxWT
cc1eoMs+MjgS4sAY692Ncz7bG8eqinADDMi+CmPD8zCk1BfCZBUEzs6Mkcvh4JJn5xqu24cOjrLZ
DrjVgKJAASYUYTHm9G4n7qXP+uuqCLrBHObOFc9+hao4WsVvFmSTT6FWkJBItf1IbUxp0bfsqdi+
qA7bas3uYyS+Q5bpgnlSXNj68IGL+Oafh8zr7nsikWyhcsI8+BYZ88zUsBzGr3HGmAbT0KqzL+X3
LKgcP7WvmJK9BziAbG0WsRnb+lxih7qdkhwOIRaDgeFrX9NaV/UutZE1QAJpxxI/sbrr+QLcpVTI
ADkami1xGMHcwPOjq02fQIgfcipFFgaLBZofVGy9gVYkADd36bFq7eqB7Wd5X84dwHKbVyMy4txF
/DKzW1zXlZ3uLZL6ayaEx8WEYcwJvf5APPkEidfeZrwv4z4f7yvViVdRlRIpka0YJKf+Df89BKZU
qkeDr2TPymc+eNV05yfWNLLF0Qrw5BSegZag846gAg0nFC4p9gfplW3nyN1dGix70RXVLWiz8LIY
kFc0pIVg8zi8fwc9lk6waH9Af+b3sSFtM5gq/FlbJrj4IBN+yJY8QsAFuvX5AemuqPlHXA0iokkj
GF38F3PrflGO7xOFboAhmKRvnstuEERmIkzTYzjbz6uP4KqgPW5jQqs5+SoxL+RV8/dIiwWPhZit
P0b7Vf9O7qpctcKUduAqCgRxkwwyJSepnKhxhsR7TlEIvyyM2Nf4v3lZGjrjbMx7Nu2XNrbE8VAY
XpN5FoQPtEQF2cEOWn3Q3ogEn6xWY1jLmOcYM3kp7PL1zoQVmHrgoAIOqoCOw3zHG6m/NN/HzsBv
7eegWImvOP1I7ChL5UNhhFy8k1cyJtDt4gDnlHWP56zxNbwZp7LV+wCj7XfjpTLauTLM513QB+E5
NOEUnmCH9/EWJiSP6NEp1O8gJsqeouRc9eOa7qC8GdSMSHiYajuD3FW6VA+4cZtCrnTr06Ad59Ed
BNuLOBAciVEAHgf9OIaj3/TkNNLSnz2MFRHDeVZUhppGI8W17howLAPtvZshSNBna2saPskwB8Px
f/TRagCX+jw3v//v//74KtNql/ZDl34O/6x00lXyX+qjv7uP4j+Jo9//yt/EUf8vMEZUrxBkJf7q
2+iPfxdHOY/xbCmbWKr7j84xW/7lC6aX0KW6yVfAJP4ujgZ/kV1d83q25L/l04bzr4ijUv3nVCzu
NEXwVkiUWLQ+jGj/JI+Gml15ntv53qEMWkXkP2g2V0W6Zcetr6sM/QpylrxS8IFPkC6Hc112OdjO
MmxuYCAMb+7IS5Jm4yT7oRouBj7oVX0uIlsRLw9ygq5UOlaHGLDFnUgGFZyNUmN6jYe5/nQXT1+R
fAu7ixYKeUHXqTbYFMAHYzdKVL4fOAmBu6ZNBkyICY6EehF/VY3nlSBEAkVNppN1cPSKdUE5m2mi
xB117QWvQUbHBcPCtUeU6Grp205fcASot3YZJWsSGTz3iTXe1ctAzsusEh+dG/HFULa2okKSHpts
ocOLJC13S71FNRFiBMK7gbjimovkBSn2wJc666LmRD6JiiHqkOdhWoDlZV9Gg/vqFR097O87l3xL
dJf4vV5g3S6srOvSVXhP27EY79hK+T1Nje7Q8xR1O5J+xJb8DRPJhIOKZwT8cthkf9qRjT9b7rTf
i3Turus5Ex79GQT3tspZJ2x3zGaeXrJ0yEdi4j/w2iqGbZUOK/YjtJg41djkn7lVL815tnVR72ZC
P2Lrxir4IXhz3uVWhGOq8t1nRglzmqNovmWUD+/laFj0pmHWTfu+F/WLdBzceXi2pojcTpdfwKIC
S3JNN73C2fAfUOnUJ8eak+610l65YSTlRxPAz2Ucz1SxZ8Uq31qd6jceBq45jIULXD/A16jZyPnt
FQah6gleCTy+LCCpu2l4oY9ndxqSeRuVMYPb98HpfR+iej1Ps/Vk9dYzltAMx61ZT15uFg5hMN1o
xznm4ttsPaXD9byOta1+u9+HeLR4vJDQaDjc+2gJz65ZXfHt9/Gv15vAXe+E9vt6KJVwqHtZQnBu
6vsKGb+vk/n7apm/rxn9feXo9fZpvy8iBrn+0gfLlKNNrVcVIRauLYjW+o/6vsy4kaoIYtR6yUGT
GcmBrXdf9H0NCqeKHsr1blzd++MByY3v4Ph9fbLj4CqFkdJdt4XKv/T3VYuIhdkq8nS3Q0FEE9mA
f8FBzje6fArDlEYApo98NZ2XklGH52H22rCcpRZo2le6G324qSpsrgS5XT6O+MJmf8xOohfZayVH
GOnVvOx96tOv47AvGJm5+NtJRu02zUcfXyh0TfvB7tL6tRudHRxj52R7ZgRi4gxNht+irJ7iJNsP
RT+bYxahWZzLboX05Zl3IzQEKK65Soz8Ak7ibgTYpOaXA/jvWhobPhMbhlJfLBnl8ysAgNZiWCeW
Fq/hAJUfjIZ9xthnMvTHMsvTX5HVJo+jrtSvnIBns+NhDo+cLvNquUtz8ppbm6+MPoReo8SOV+vE
2BeGgxOcVbjoBagVr8oby7Ky12EeoFe1zuDxQpmYFbKNl0jtn1jucsxvoj5BjY9zHKYBIb+Pemqu
qn4lda9tr2gWQNfhzDSedrGZefxpN//HI7cvdKPbfV5OzX0vzXC0myY//M/l/t+53F2bOrn/6nK/
+cAc/tFj+finG/5v/97fnOHirxChVvDhx8vN6vs/1p/yL+5WVp8UarF95G76D2+4/Esw6PDcd6QT
suPjX/r39af3Fy8Cj3vZkVI5dvAvecNt4a17xn8EXyg3cF3kGOBYbDUwov/zFS/1DEVXWtN+Hhpp
TrCf091kgFNRKE6pZj6AERpKP3R2U2iWlem9zpT293hpkdYGw5cFSK4gwH6UM2zXW75I6z9R9XTC
tMpe9QTn7E+w+jfd96BbfA+9WFeK5sHr0vTNgswWP1FeMdYPrQTZs4OQNCARuxUnW1cpYlRuMXbU
RCdNGIApUnARlUFiwQkrGdb/TS+a2dMA0vWq+L4aYvsPThp3n01KotDnOjy3qxwg88SStxrjcbmj
UNv1UMjtNr8biVtci2+NwVvlBruCoTAMbK53nYfh+jb6VijoBhD5I8LcD8KuM7FCSyBvtL5EgB0j
NePCSjiJKGhyM4JMjt1vq2/NRCJ9dzsGToJpbZwhlwRWqQ7dt+QyS9ogtqPJ0uyudwRbM1ZJL6rt
nWuA4XN8WPrAFCfqisb80k2NBhUZ43QBrOzi15gxtUCiWkUkOdg5c4Fw9ZrsS3bDqjuNqwLlF1QI
2l2QPJC7gnqNiOV1w+ovpWxe7/KwhMUcjv2wqbUKoOAW6Rv/NdbDJu7uI88K6jN5PiS15VteQ6hw
H2n2WeIb3CwIcKrQbrhht4gwx2lPDnysFaodhd3ecuMOPg+h2Eep3QoKfKxTx376DbjSqI+6iQmR
s1GYw633LScGo/Tuq2myoQZTR11dB2JgN2hCitvwvzf2iZUiQmXPXjg8C15PzRWKIwojjz5tyMaO
1UnC816zpvT17ONF8r+Hb3W0J2wQHeY8N8VZABCe8QeH1J8kfqPgM8TNxNMvsYpTtqqwNLm0L1Rm
o4THXfdV95E9XfjUsaAX38qu6XhCgUatw00C2O8cFz2utBbLMGYxC8mVpVCkLlkmgA+Etp5O0OTo
R0+muGcpErLz3ZK1qC+EQwlTp02XQyZI2T6k/r3PyuKl7/VUbYcIGjsvkeQSjCNb8t4um7egyuxH
tKT+nXIdhUUyx68qB1ij/NLyKeoMbz7I4YN8TrsYmd8GddButWjmp7Rylq8yKZcbvHPdSDSkTuy7
DgoXK4Q6l+NeAhkxMJni8ibMQhB/k0tR905kpvw5WEt7F2Y+KI0Od3azi0SYw9bwHPe5nZOGO1iW
EOgC4OkDdtrKu6a7MvF2TTynPvx/QnpX2uFM2PRx6dLlSnZsNyb1DLE5K9P3IYT9sfdnl0+7HYNm
YOwn1FqTwYUQKaJXaymi4+JDBS+nuvoqGguGeZekhzhyp7fQIFW2fRb4R7vtyp9zEfO9gWI33LEq
JrDglsB8RGGee+qtEnbeBWcBdR/4gV3nngUico4bOtlJG3LbVWoXgO7hwpWnVrTui13m/VU/j2s/
iUzC/TIMpMuwZ9E+4DsIt8eQMMUB8T35NcE9I6QK39FALrA1H4+ifU55HZ4Z/13yl0VFVJoVuYMB
21fFF6U+3cXBAefggwCNiNWh+iQsacKDKZwpPgLSD9gvICGiaI1mT4JzvE3a2jpHrmTTYIgVj0/N
SCXUNkFhg96FNtCzGC1bVDpgkRejmkIfp9mhtLVfaDjeQUBQbE0jPqtbT1BDYQAf3yEp1MDkUOrt
OPKrlyDrLV48E1+UDaUYhA2s2vN2Ptdg8FlamPQKDv2j1418PJO3JbXEr0EX9j6QdcayIu8OoU6o
outZYnCE0wtTs3pdJ4y0PWF8YDuG6z3k2MdbeOGdFlbPkIKYYQhGLHvjEmsuycw/x3O+boDl6BvK
S+103Bc44x6EjnwXw4tE+wh8z7Wu3EVmHwoXoznFqdD5jetEyzaAK0ShFVU0+0amQm0W3el7Ggzj
Z3TGqtiZeLLx5TspFQG21/JJDD3I6nRRh+NLyBC3cF7ZabTp+cmn7I5d9VBMrSW3uAtAraS48psd
2T5+I9JLmse0lURtOBtY9aFqQZ1IGGEhABJVI3XAenVfcZqRzfDT6Yp0rzjxYV4sdt3YgqapbtKt
4X3QnyTFAdFhaL3wVEHV/1JT2L7xFq8fLDMAWJvadPnM6WyjEcf3JLumTAf1jl+C8LHR2QINyM1z
gi8FHoAUBA5ICbVIF+7n+kOopKa7IS+z+z5fZh4IneN8gCNfN41V1TzP7AJuatGM7g6/cU4wJmfx
BMaTjYzx4/J2wudK2iIxr+OMKpnPPMwPwsLMlJWCqGoc4P24ycNlfjbwJLrdmCHg8whmKXOaQDH8
9kd3PoGbsm8jkKO4GC1KkgG75VhMqjFeamZ8SuDsdEqiO+jS03xyYbuG9zPLUWpGRj+5Yb8X/lTe
7D1kkFFbJ8MpTXT6ES8r8mm2DMkuQsE9Ohxyuyg21ilL0fZZjv3KmsJs04YzU4o+d969jkUrC40l
eBtwPP9hDRzhl5nAXFmLnWxxJ+VnMWGb54xZxc04e5phF26LUWfxjhbNbGugvz9abeVf7NYX8mgc
pq0yVskafkOmt+MVwxfNCbsjjB4bl3EUB67HUtKPFgAgS9RtyParR5cIXv6e2EN8rUw+blVN+d3E
UIwpiGKfTdKMGLbg/pYUyNQjYgVOlOOQxOOVhb/V3Qo1wtz16avYA/D0b01rdZ9sN+Ivd1TJz6Sf
ny2bixUYFNilrW/AladT4+IrUII8rU+Wl82us4reziIhgVWD+tVaSSOOdlVI62Ky7Gy7aJNoIcGD
K5noPZy5zwVb9XcqCHtQsFlr/lBXXo28DXJZ3qkhwbqQZKPFTk4uOeaiANqzsMfaRgnPp1+xjMMv
qBqpea2xPKRHVdv1V0tku3vAsUw/uMyQzy5uycR2TbqdH2Mch3om5B41X04MmprnjUzMOWLZSayc
5xybSLsuw0tVOeapFQEicJpb7KjCHmM2LY/lAkihfTSAV+uL1+HS3TjhOD8wvrHpBz1/w4o0PaXe
3AvoMh2cx4QrayiGkpWDm0z1FqWcrwkP8eE+XbrkXCJyXKrMSk9RODp3wnWBk5TDWO9ZcGu2wk2x
D0URc5fzBvnqWIi9eJWf7FEZ5M6vWW9w8AavFhCfmc2YCIZzUBWq+gA/HzZHDtrwmayI+6XJhACz
o+DyThMFfNUTW+qM/b19cfK5IHQIdXlbtLH9RvzQfgWEat32g0cbRmFi9l1EvcqjVyq32AsJvW2a
m6bdOnnjfnJBFjuurCDf4ihz3oao/5BdGyXbyRQYcmOZN3/YxLVvdurR12OHCX53L0I12ALfqF7b
WMfPY52zRaC4nnox3otPY1tMVLSSRJE/iFy227BdivFzcGmfci0imHaU7qkPmD8AzKqtnpOnLJdA
WaXDyQ8hAdJIi+FTncRim+U6x0AwHwAc6Ow2rWGYAmawKDGyXJxVJ4nnB0KVg5LOmeebZCvsKogP
aaubQ++3znSlkc2fe0qevG0qYwmMLrdTEpFc5cmcN4/d3Mc0DTULFGQWtBTGcs3vqkVrMHSpuw17
B3mk6J2DtHgVpIX721WKTVCzbtWSLsi8c59hLXgr4UqxapZNlGxoR+VFuDjCvmmcVt+748SqNGs2
EyGwfasSyFVlSC8Nob6t6aml0CPlkbrHO7FNCh8YqpN4HtnJcHgcrWg5xlKmPxp+thDS1w4TMod5
TX1QaJEuLUGx7oVK0KxQtayfKLLaugDKx2mondJ/GR2D1kHngI1vvDPYs4rAp1SIi/Y2dtfhrPZ7
0KF9SGtaOk9RcahRA/kr9JafhI/Gd8nvQu2yMYG8FfDzbnYueZSj63TTe0tSjboN+Gh3YFzEMw9c
TthsMTzWdZdcIqeefpdROx8UJTtnepeX9IR10b1haAiiS5s18ldWN86OED5Fyjwy2K0kS4h2vKL5
3ye5mlxl5YInY1sDPatlZxLyNzZghXTybM+X2YZnv+TmF19fdd3nBaauxBbc7ui68SlKkqLZmaQ4
jIKQJDAAr7yTgsfQPmpFal/6MInUgYlY0D8AMIOpivFGbRlyl2Po5vLdG7jAtsugmV/ZdLmruwox
jkEpVPNLF/WwTglyhdmBwuTky7SdR3+etn+WU4UUl3jdKW845hfJghIGjeKsyYd6T8Ym35UerXIb
WTKmb2f8H3QUStW/uxZFarFvvCPkueSVjSF0pXhu1hRTVqiHpRvq/tLWkr1XH0aKZWhcqe++sWyj
x5j1ppEx7xovYTkZNEGYbOMhDb9S0udPDpWOSRiCivUyhSEDxgEf3cU/sLsVR5gMwQUM7MjmmQhU
M6WAb0wrdk2nVLfnbi7IHRMafOwi8EROp+m+Squ0/6SrSQ2HUIZDB8WsApxuJ8NXMyzmDrNxjWVF
CnQ1r4a1vJHTLD7cYRQ7INT2H3bLyyN+aYo4aMu+xuipsFjExEKSaLwB/3EV+yH+gwLS9LxtS4Lj
rvrsNQ+eXAGWS2WFUTdhSpKtOPZZwYvXKOdtWZIvPm64i0pEWa3Sr8KkgBcjp6T7IuDnnfFCxgZ9
64JOvJRez2/I1M19wDV8SIcufudNQf8bh596cvMPsdLasC57PPQrSj6p6t2T2fDOeSWaJ5qxxLEL
MFlwcILg6p2jnVb+l8aFeYpE556dJj8tVYDHR+k8A8vVVIeMANBTR1aSCtZA/Ao7t7piKTh+sBRk
SRnleBTCYRbTqQCsHO85JMfPBQGeoozcbjEUegH4a5q/Nq3kz741xFo/vFwF835RrXc9a6c70URh
73O2wsdsJeo3mKv4mDT5/Rg48y3ZUK/beKBnrkf84CEb12H5PWc9QnLOC3LruWXwPHtKwYpssq2i
E5eZGLwI6wexk7zkfxcWCMYO3XW9TH60IY5vwh6evukVh+igsjrbNqw1omNZh/EJv+yxLQKYvkMy
kSMDibnJVTO88NxtESgoPNlO3zMHppxdS+b7T0DpB5aRennEWrL8pA1QPVY1vnrwKLStttKFkV8J
KiRTj+MS5ebo1cV5lHFzTApb3enctfkDTQE8dq+ueOxYpXtwgIpuY3/wrk3BfKp9t/0xduLKt2fc
VMLzvccidIcTwZnpoRC4MiaC38Q8q/xHWzjiRyTKZgdbs7tlT23v0c8l1S34RIp+JKbj2lteNN49
rdlq7/lpemkIv7YE607O5N/izBjhxPju1exJm4dUuOAlAExUYYpnRjas2IAS7g2XMT3Eguedistr
Dqpsz1cmeKssaKfY21s4Lw6JOMwUzxigQwMZ1UzPSlGqPvY1q5M21N5dEPsBDsJMzTdjQcCWE5dQ
tVMVh3mI2wuVNI28muysGfaoafi2kv6nlQXi2VMtJZPQ4/qXxYS89uLcIbWXiaNf5oK/1YXAFWig
bVfFw97vcfNfAKPxDBmTcWc8jzoHd8n9X1MF/5P123aqbfSCYSl/m9mPjpwP9SMrvZHnUGTdFk6L
zzoa34aMi1XbZUUaAJz50ZuAHGXF9Ah3wr9tvIjc68A4QC0OMe2V6uClV1jeq7MvuuC3GJx7K+LZ
3bPJ4UEWzffKndV+QtDf2n1hgY+izA2H3TGZsuGsJtCw5AoX9apk6f2kEG4rerIIJtbpld8OxDaZ
NzCS8LDFY+nNv5a0cF4wTIs/Y6cBYC2hd6+X9Jgpbxng8LDbuUkMu0n+W0TRluKzpaii31tOP514
es9kT7PyPu89ecJU2e47UVKHKfK1Kmsm4xIMwJVmeHy8pBYvljyHfazCeQbkAnvoqB+EU2Lk8liT
JsX/ZKp+/3fWCij9Dnv2/3+m6pSWH5/JR/G/7ruPr9998k+Gg3/7l//mHgj/EisA28cIjtyFMfvv
7gHvL+JU2LiAFLuMOuv/8+9IbecvrhOgI74iycoOAcH/b7sFR/yFf0cFoaNsDwDNv+ge+ObK/ONq
Qaw5LVYOcHEkCpLLFuMfw1XSLxYgY0NwrKIIe4Xf0wXUhxY8VmtuP93BoZxIJOHr2HrBUYF825Ru
NOzYG0ZnqVr5JWh3h+aCuRRB846BvTy65ZC9F13uH/gmNZJeo7z9JF7aMHK3PYP2HN9a9As98j6x
DrVmn4o8gPkY5yYdnEnvPzaWh0yEQcj9jAp27OR0VHIwVnmYQ33DtFRcAQ2yQU+q4dwu8Vkpigqo
SxCHtAnvhEaiaigT/6HiNvzKLaV5vidzdIRBqw/4gaiUKzhIvtZ077tm0LksfUb5lpqGI4UICfi3
cD7OUoAHmVrqkmRxQ/VWcEcuY9zPMqvZ1wsbj4BeizZdceJptNyP9J7vw2zCllo6aj5GRUVD54Lp
58Usdf0bq626GYTl0PCun4E1hm9UpwT3jk8lI+KTSfmp1pGzCaBlkfQaOnyQnMPkfOeS8E2Av3BL
GDb/0etZXBz2QpcqlxDDSqR52rWv04QGA7DL/VPRNMkZMrm/ZaQAdMjiMv2V+JP1BkskuGrT3r2O
Qez8aiaDSDCRs/tjeKfelHNgftSZLG/4C+fPSZ3qhjA7xkjh3o4eQv8OFny9nUl97kmK/5ncvNqp
lQi2KQyAhjZvilV0+KSIrsTSSev0IXUkaVdfufygLJwApcwOxRKFrP21+GGAMWxaVbSn0IM11+jc
vqG7tT+h+BHPoYvmGMQkIeAbextjPMOgPDoZRWjRa9BRyIbAVz67Aj4Hw3/P9ilxfjL/UrIkKRI1
rl/epSu5aMtuBe+EQfrp5Fju/Kjfjzk4Q+Br3Z4++d+SHwmJIewpt7ZtsrOGn8ZfurjmjVdej/US
fnmNG79MRAA1brHydZ5kgSslUlSeVy3BOES+68BYmjeSkA9965DsZnZDg6vdrty4lC999W7//8g7
j+XKkXNbv4riztEBZCJhBneyvSO5aYvFCaJYBt4lPJ7+fmC3dLtLrVboRJzJOUOpuorcBmn+tda3
7nxbEzXpwmrXVYm4neWU7xLIQ7ccsBb1SPCtJRmSPbOni3ozsmHujJz3zE+Q7Azcmm8zjTZnuMUV
szJogjOJ/N00LIbMMflW2w1DeYjW1eS6L2kFyCTNFWodhWFKT8lmUClVJwCuny0IMbcRr65dK6PH
qMghH9NrlIS3LZmTq5ypi2gjKbFiWjPVlwUHpX0j0f5IVNMiMiX4EnNVfAV32PjU6xj1wVALAnsE
QsAl9jp35dcGVQbmEo5+E9+k2Ro7XQ7g0mR18GocG77pPEW1sQmtQhyrglzTWkSOsfndWv0nyU65
rGo/rXqMSFinLRKsLMI/RUoDF4g7ilKwR22BYE/5Dn7VqoIwy9exqC5jVi6tWWIrm+I1G/Elbcua
Ux7wSwzjIebJM9eb4QfRB8YHUZGdfepDcq6rRnopQ1m8lnWmGUoMsdw6OB3ybdtqiqwx9qUP/sfz
nH482wBypX0seC6cI6AKeRrU1E2ojJKC3Y6099tfv3TXXvxgv3/tlhQkeiGaqUW0Rtr+44o/Ga1N
0UbI+E+Fj9Rc0QOdykdagt9gWiUrqwSOr9ywBnuBZQkkrxx2HsZfvg26KtwVyUBtwTvnCLbCjzvu
AVkPG40N5zttruFTlMMSdOvhYJOFreUMHp6Ix5vXQL+GSEjZSnMSoHeoE4q/1jUjN75b+XWkcPJo
mX5NoXLWnXyriU6iznO40inHolSn8liA1UOYTM12y/so1sHAVap3+niv/DG/MnHz30ovLd6wjGBB
crLiXeSyu4VJUN9muLh30bBUObaD+1oaOjg6Oc0RUx73D/xPd6fnLn5FaIhOWIthcvgtyBfogvuB
Irp9ie5zEd4wHUMydtRG221Ap6IIH+n2SXC9Ay7lVBkNa5D90S61fWuPm44xA5vsNpNpB12DNXKr
m0C/tEJZ8JH86oVELSGrrLB/gOQMN4jq6cKaRiuuVHKuFJeddUcx74vRKnFHgMHgKj8IJAeKklbc
HMvvVEmPL45RwnVwy+IagZ+9UmMFHX0Bt0rLji7MPfRB0HQFhx6FNfKYTWoowF5Dw4tLevFeDMNw
Py6tPP2wkEu4OEEcsfuCT6TDuTfV+rETGSg6MXNgLi3xblcywH9vl/46yJ4pghjI081qIOHfzPlb
jvBwM0vRXphcRPS+N+O5CD3nknvQbjxMiheXUSyGHtALsPITosEhXVVrU/fVxaV+564xhurecQe3
3qOIT1h8nWyjbFlstaYWCbtDeiWuVd5wdl/q7YqeQb2sTqPj+vfRsopQZ8dxxT0a1DZp2hInET0u
YgqWvXxvhNPN2FChgwAJF49tApE3vXJf8LYhzKYdknp9QNyI7vPZMH54ywrXL2tdpmkFGzRKdI+b
sGgytScOzcLYfSySrBT2pltWTr2soTSRss5Q+TazEEREY8Sy3k7Lyjsua7AW9ngqmJ6jfYp6esVw
TsJkmFjRLdBqvVuX50WSfFMDoz0uPy6xRC12mD7YGJJlj3CX3cLKLEYp6bKH1GEaGwdXzEW8bj+2
INOvIkptjamlrxxl42kyS3VHDbgNuHzZ12IdSRqtSytVeyIN+kS9CKPVZZ/sSD5uko8dtKhC732o
EsVWwXcaRLCIqzPdDkRmqjaHlc2Vax9wr6GW5GNLn03gqCFpICJaKu53Vl672C8aPiLs55wapuUA
YXCSmJcjBU00HC5SZ0jWReeqTbScO0yOj4EfMSDIl3R1kOHDD4xuPNOvwh3cN8ZjQMAcoi31thVH
n03v5ckx6TpBlZ4X2QA3fMpwx5KpgZ+l6Y1iZnKUbdneJGEuPkWlY9+2DRmtYrKAyuomovAg0v73
eq7EdcwGhfDS9dcYO8Oz0SUAq8j7NhRpdO6xhSIGjEAb44ZOj/jOsXzUnJgJ6a1jyO6gDeBznOlg
zWOfx8HI2V6RVqiiUxVUOYUaPZa2anD1+6j7V9NBkfQ9g4bNVJpqRw2DtffGPnpyQ154wq3hqI2K
bG6UOP0S1iemVTWKECNq4lXN6CFkGu3HPCmd6+h7DMRdti4rj8unitrCGGCvzo7SiJOWkFNUFKuo
9xI23gopzB8J+Ts47rdOP/gHDpbmO3H/7itl8eSNqSADnDrxoO2g/yhz5TCLo8XO4m0kIaT2acI7
vs5o1Di5TpWeB+0ZJ7/uKXRMxvEES8dBIYg1qGFCDfdxaJhQm73rHLbjk8x0zoDAILpRBBBfZ6sZ
edM85z6aRPqWSCLmwI4UmR+dt++h6sO3qqOBzwTwuvXLNNjzn7ybKK9bfiO1bfPCOYvK58sP8ilj
KzfjewNtf1XIDGt+qTgFIs049jXmZQRpUqwV0XePJDL8yvm7KQxjXLXwvhGgYqD5lZngAYzbequk
MF/LJrVP/dR0N0rSYhuSat0O9BTyl9356ApmE6uh8Oqtx4F9q7kDrDLfOfmm/SMf/PdpLOWeDQxn
g0+jwNHVyuNpxxC0KhIw2hH3+z0rDwfrIDVfkjFGzC3zF2R28WrXVnfou6z6NCiVfIJ2pb+nPO8b
nya8Q9/OEIHNF+lk2JSpZnSOyi5vBO2x9EkgEX2gC8bR2SKFoPwFGXrfluERjgZKeh3zrCu7OqKG
se8GqTr5MpMHzNbJ1tJq+hwbfE/BYDA3GgyqGyMn+Cp0bO9xISfD2i2XY/1Mx8aKEjHAyBEyF2hv
Ruw1RHRrEpdY5/EZy0g4nbvCKB8coxdPEfcX+Jvl2H4n9c5xUaaNdynqgtUGKHnyWFRw41bzANg/
ydN8B/e82utSIicgLfc8iYoKDEzpDv9qH3+BxWTDQag0AKEi5/lpeO2QAY5DRzsU+fN27fFCycMl
Rra4NOq71IEdVGD52g4Yt/ZVMI9cnKRcAX6YjiPN7/uYpBgjQSoG8o+2gWCmeIAWEsJBlSx30urc
t4gaor3oYyxWnpF2ZOknnlo9mQ7X0CghWlc2xySDmB50N7Nr/ljmF1uqGK0vbW+4d34dsD1WTwRj
0SBokmgeRKinfD/E8fwtIT+MeOS95G3Bobpjb58FvQwD6aK9hzdkNUVy3JtLf0M8ZuZLG441kM+l
36HWvWZJ6ttNaIvqvnIDiiDYSvh+Z0s/BOOJ+cmpuooWeZPQsuWqC6E+JnIlr/mKF0aQcQf1YASh
cyPtUNyja1FBAYqFOgo4vMajYqu+SqsYmPS/B83SvUrPDsk3ggF3hjPZBx2nHIuM4ib3yI6aNfXp
DbXDK+wSeyghNasI5hFF2hfV5NsEHC3ZLeXAw8rA5LsefGqAkfgv7dLOwYHw3Ir+VpkdkOk35sUT
XSnCpn6jLkTyI1HhbbpUfXi6Mu9dFdSf+X6xeTmUgwxLTQhkzOrV/OgOibEqKSrlqRTxeaI/z6oZ
nuFjy89UU6pPToIvpDUb+4jPJgEJTlcJ/ETC1vj94aVmuJGWTpMkCY+tTnBBuhiqurGL7uOkch6m
pRsFt8mMtE0nFNgpkmCJg3W4SFV2wN+hZvZTd3ztWPJQIEvkvNIU0QHuXH7M8IJsGWrDIzCQ8cRS
36JIA+wXAgZFgWVyQJ7gIhtxkp0yKn37mDoHzpDgsO2PrhgtzeCqMjrYSXdTD441cIs8Gz3rpYam
ZwiND4lqGs/W/oFGzQiobUx6kdgVYCmVA4db2m36qk1ekdrJircjXVRFnD+EBYsotcLGvAM2MqIZ
R/WeHNxzZkzVKbWbbp8GFQeyNELSdRPu/BT8Pvm6aLZzV5Wn5KOXp8HtRWFD6dLWw8Sa0DYWD6oj
CpMFe9ZDDzeVJ4tfpVy3ft71q77NyR0HhXyZ0Kbo9prdr7D+5CFKWSGQf+BktM7EoxLnh0Kgx7QF
DE4oIAkiZslqNgz1QJO42kxdGpyFFQQ3hQU42Y/eFYMZ2riOIa0XVhScdR7AdCQFvsWT99rmnr0G
P2puMzVPJyZ8IEe0/8C9fE1EfOC9zZlRE8DPyd2Idp0PvYs5htF0PKqIaxJluSvtpdk58pTLWxBY
NLKV1re56wkuiqb4gSo2kvzw4iPiDeZ4I7BAjAdtiSciSb+JrEw/FzHRExz3MCBto6cJhYP2lbtK
eyaB3uGldJgsKaeRL4lhkysN4+pz7sh8LaoMOtGSB1ZulRyqwfQOpoyzPUGQ+lLIojk0QGEB3azN
MXGzlbD9eTe7ibXnCZPPLde1a2vg0it6V2/jnNlH5JuYGUO6qZP0XAp1GpvD5PF+dmQbm7pbJ9A0
H0TR+/tkcJMXB7MHHmBaRty48ajzNdQxGJIrJNmh+zeAJ/FnV2Flf/CrTF+Y/k+FgkNSiCCwpbc3
GLBvlU28RIe9E69qRc01VEzuvzIbw6fQKRCEdOoP5SaKKuM+G9LpnRLRSuNlUxHCaAJUhTIb+ysz
HUkEy1/UKCuabWNVfEw4CUch1HkjA8KpdEjcqtKuVg03RGP9ccf/X1xsaZmWEK5kTPOvR/I330MG
8l+mL3+Yxf/jL/46jvfJ5SlSGIurX8B8///jeM//BXiJ43Aw99zf/uTvGHjnF9Php/s++phc0nz/
GMdDiCd4xxAJPpliF/Dd/yjMJwG3/X4442GbsaEMAmLzbP6xnysuO1pzPQV76KBRg0Niu6nD4ilx
qmPJiaNvI0/GqXXGsToq6XSPtjV5HNIH9oFd6AfyuQY5eMTi5YAJhBw5rvLYwPathnas97kRyWe/
ceVNMAzmXW4Yqr1KOhPk2uWOAGTIthMCUyVDlL05eXV1MakAPgL+4USswijcekEbPjUcmKmiMUik
dZ1lPGGXrs9e53avFUMfDq2ev7XMjH6QAuIFMJBNT1XHNJU9TtSK4EEKj+ArB/CK7ZH0T73mxYYX
M2mAWGkAEhdFchk4jR3B8OkyD/WQdma30/ldLWJxQPimT07N8jDFE84gu/bXhQE7kwaxybkfIuk/
EbL29gPR65vKY2iRgL7ADCZNOtdyJutQmpfR4pqRiKhe+tKj1DIox4qwY1M+WESjF4k7nvJtKTxp
XgQ9gOGJ0pn+vu7BWa7DorTDS00ij8uu1/ccKIcFLOMX9RhuGisAjRUaknIgBHfS+aE1cUfLCF1b
97MFGe5OMwop7tGiDGbkJkDwA8VsTKWiyrNmQCso56eA+xfGW6JU/bbrEBV3ElvLaw/BUt17OQj1
nTWTW11lkSDvLDp86mDRm56gGSDtvdua0TezpKKcDFru7wvdWS8qGHzNvTUMCUs3P7ABnTtjqK8C
g8IFbCShf2kaBwOaxqvraIDCHBSGERMkgj6T83bM/Ruph00+Ec6z4tTcsW7nONiDZGTxNId9YxfN
N5n37oGu+yjex7SjWpusxIeO1u89KTcJAGC4YHK4frbeYwY4+jLAqVnbIOSXoG/2CEen3nQSayAn
vmifhrI8EcPMN0bjY4eIvRMKts8s0JqfAqzfu74u1clxEsSexOD6aJl3GFjXadk0i8mTTKzlNHdY
2oMdhBIoKNSI2di6NTyZsoxcyp1z/v89Htbsgvzmbfi39GbKs/yiUWhArCR2/MS3tTuXTJcTZmHl
NKwmP06OUwinDVx8R/WexQ2P7qlj2A/pne8FPX13CfWH1CITNqHtZuL+PIwA+WZjYHqqo2KV5+7L
GMf5fT3R0T0k2RYQ9fyC7BN/UwK9Xntu9Zh3YbN3oy7hfU+mvZOE9WfXb+1jZszdTdVO38uu447O
lSrfemPQHtKFP+toAGSvFWeox6GcrJStKXXfqqm1uDdjGTwOWW/sRiyNdGtVDK0hOm9VT14RFEe9
n33GY3pU2Tq3ZLrL0P7Xtg6zA4MXzG3cDtWQjzfOcvAGO4JBvgmzK17i+tRUSXEiauDfhbIOvthD
H7T/PRve/0D0J1lRQmh/if9cR9GXto2b8Iv+o0zt/OMv/xaDs3+xyZATlvKk66G0EEP7rSDFXPRo
8mwuvlKTXZI/+fveaP9imYK5vG/6GGKcBUX69xic+wsbGBBQB3EZo7Er/5O90fV/Fm1ALbk2arXw
BLEC3/zptGYGSY9y1I87AC6R2I0IW+sB0VauSR7MAmIEEu6WEiOW3D4MJo7MbtXNG3sUo7Fqndbm
tuiIS8GmsCq7kpanLsjpcnPd7BH2jfGkrCA6hmPZX528oOMkd00qRZSbowGn/tbFxLWCoIbbT3pz
tPanzCO8FcnoEIxO9jKHmN8YhNP4jn5l95tION7aGoLp3hnpH1zpeYHZTdzYDlmeg1sSPXmuLtaa
Ez/70ehxdtlNPMApNrMF2uhmtOTtCefWGGInQE9dNpuPgYqzVzmO4SOhKZRXUyTvtbeAlbI6R5VB
wHsPS1+9MW9xV23b6S+DGCgtstKjSgSDRg3kYl0mFiJKAgvkOjZNdlfNeCtpUUpXhRjPodlWzM9w
tseSSTP7OYnwLq42c+lY717sQfAqaEeh6syL00tN0v99IFNLX3SY+d/C0gifBctnBHUNStIqdg2B
4iHQE7iD4j5iUrniekHXVxKKEzUxxpria+BkTtKfx1LTEokpYeOKMQYB0sD0yCjsK9fzWBewlQGA
bnDUujcdg+IvcWHnzOlIN+11P+FgronRzCvTn5rLjJi0qlRjSNbYGbKUj/y7lFcvEB9DomMxDwtv
Wm/wT6NPqW/UBA3Xsy6bGG2OMcFe/B3g9w1ueWwFzGHkcg+XzeKUniR9KKkePNLLhI+L1aSwQS21
IVSqRX4QH7LIpNFGFwNkV1GOB2ha1I/gn1Q4qZxpK6oOKyYJYwCPGV/r59aW4pricrgETtc8RUVU
fglNGcF1bIvaP7chX8W1640VoEqmcLhZaSJUTHg5fgCkf7O6lqKJ2XJUiuuv0I8Wx9urbVsGo9Nq
8C8JW+I1h7BH8quIqKvwR0/fcxwZXxqbzpBVkJvGd1RpEkMe2MpX203zd6d2SqbQE39eCn94ajDi
w9Pj4juudJtE02EQIHE4GUbFGe8WN9VMDHuDsycYymF4oVenelBtOR+ZCS3PbUrxrRcZPeUsDugh
E94wQwU10vMKZ+495OFa/moA+IxLLfaAhWygGdAtEAoVO7RNKiPnIpqN5qewnszXZfeftmbNJIRW
Bz5ADxpGuZdUY3CQromSMyHFwOrW3lICGoEkDZzvQSbmz0M4bi3YaTIf5FcyXF6M1pjod+Uym13b
lj1+Hvuk2NQdl3XQ2cPTiDB4iaifP6TKFqcCUGYBAb3lj92Y/Xsam0/IHHa0NMvYW8TDEjgOt3Uq
g0jvysmp1oT9i106gRNYjR6lJ1NEezs5fBTkCkfnKFbQavW+qzVMWeEGL75IcpBm0vUZA/vO2rBQ
B1dTqzH7c6YhsTUXxB4pzV56k4cxL7fk6YlhCmaR3+kMj55nN4rwyVlpuK1bKTIc9mJ4NXhQrF2N
YRkWWF13n3OZRFT8Gq2BVT6eebTnXC29P3E+UR+Br3MFyBKUOfjMFUBPFhbOqN1tXS8po6ko6YDL
m+a1MV1ACHnxLc37BMEcKOyW2IFzjvw0InAG5R8WvV8/m61IbmYPzQpD39h/soNQXyRu7s9W71LJ
DP0UH58wFGj/kXnqOndz3IQ1Ua2vTeFlhzBvv5p1TDGPV/Tlia1ELXbQrP5mGyGRP0N3pMGYHg43
MZ1WLT6FcFKc1hNspEazqBY2JaTeitfpuIfOzyJv1SShJTfU5TbfJxs75ZrCVgJOFbuM3ecHDeHg
FDhxwYVqqS6OKzXHm3zI0nYvyNlGh3KB0dux05o4ABfEWALHmFYU6iiJjUAQg3CPGMBoytT1j3GY
vBNBWloFGzKlsP3g4LcLEb/4YOPP+Jo3wA7qz9i1wMlj6Pfu20qLF47TOOfpMhUXMyrFs68B8DMJ
9E5ekjGDidyF0O9VobyrwDDcEbp2n2map3PcTxy+Pm5DbHE3VVaa08fU30DdcpYDOXUA3PHMHJnQ
tX6YtWl5Z35DugOcjx6ByJu8z+2IFM0GJZobnls6B4g4KhYGJPAn1iZ96ZdmAviZgPlB52xAVFJc
MBp6puL4o9AgW7oNjKXlACXY/TQlYE6ycszvUhoHgTRTp8cEJr4Kzy5IDFjWNWFFWltlRFomNNPn
ypfVxpq6z5XpyidyuvY1XUoZsFzLQ61y86leKhtwb9HeQEAExUKilCUf7Q7RUvRAHMld+oKeytI0
ruBSgk360QzRR0l6NRJBSY+NgLamTA1fOvvdHMF/KIpp1fK2ResJKWLRUTzO9vCCZfUl9gCvIjuG
ate7mCuamaI1OjsW0ZCjQ58N89csIqdCVDfRSJ5ldAfAp7nkVe9uETriN8xxn3O6LPZj54/7gMAi
VuA8/hJ0E7kfj4op5Otib9RqPqg+Kna1MXjO2vOEsS2GGkIfqjT33aYR+sZVef6WRT0FSqTNRm/L
Td3KdoU2uUSEADjWDW14xy6K2yc8ueWhMHR046emBpAHdQUmGNPstPwwx9pQoFmA1iVhhifF1nJP
mBFId0MxDbm71AP4Zg7Nl9lKhhtUlyDZsiJEx74MCKOYvXgkBV9drQ6ILFZe5V5MJnCP8CUnRv82
jZRDIwXy/OjdTjNZMYgb9ARR/RRl1Be72ZeK9p7PHTnxhxbe0g+NMdtlV+YoAQS7QhEFHIBaYE3o
pWsYqEV2jUebcZ6SfMQookNw0A04s1VrlxN2PEU2L52qawpCmKYlkkXxSjaWJJnKoZmwfhi9EH+N
9A5wXmncjkpHZztEH2/UECA+co+E7x3DUTz6gdtAB5sS51Nv8EQCse4fMNfU+zbNrbtBRAIRQTUt
2FT4pwdoyuEejaP9TGi2vAcBbPgbgfv41BFnPjsRCe3VHObJxZ3kdNHcx3voqEZ3zwF2gDRKnvqV
uKEO6bvv4X0TDZRPZjLWn6RIqqvfAFQaHT3ferAj4TszHiUVXy/6hIYtCDMvB7hr24vKG4np1uiD
4uRXBfGG2R/7tR5aA4e363yFWteCwNb29KUFYU1Bc14YW3uq+vdEZIm382XTcc2O/EPSzcN9n7ZW
9+urrG23WFd23X/2e/dJJi0IQMJHn3g4AXvXeO+uHj1Fq6jOn2m8eciiHOBFFjYXn8oOntmAMHZK
+GkPUd7HozRV7QYHPB98QD7nU2VhSoVjOIQphHYiIAzPPcbdMAIuvlWWD35ZOg899dA3XF5I1oVT
9kr8H9Kskzfe13SaqSFOsa+t8ZGoW9IIJFWbrB3fvHgyp1M5yn46pD5M7lNUCGtpKcSc0hJywK8a
6n1QUHgPLXKJwoaVW5UroT3/toD5fLDYub4bVuN8DwEzd9v+I1HbfaRrnZzPeqV6GYu9KP34ufcb
sTNohH/FfjI/mH4eUB61RHXFEtq1Uj96oCAku6Wnab7OsWy/ExZk89UBDiLeeMyPQxigg03N+7ik
gd0lF4x0crbqJZAT5b3zJSrjetyisUcS5x/K3Vo4E4BAwkt3XuoOG3MIMelGH/ljrC7YZ8yPXHK3
RJTHvoYM3tRlnjBXE+rVDC1g4l3dYu1Bhh9WNe6Nr6Sb2sMAB/Gm7AhAw++sP2mfoE5TK/+QEWl5
6S1zQiVmkAeYr8MxZkHKitc5pJCj4dskrFMMlgegl8SutUSLUhMoeRL75LJH3XbYX2Ve7YnAtABP
rCa5cCWgt1Xjl6pGs05XLTT1rbWkvEHWE/iOPsLfssrJniSBmoHfuwYfnUPSKs+TBZs5cpbbiMAq
r0QG5kOXLfDeSXbJXplNcvB+DZsblngI+WYeBssp3r0S/9Nyy/5oVKJzGFKq8WguyXUMK/pTOtbT
MV0y7SZJCYozl6R7ZTWKP1na2QdDlOfGnKoLkRlqa2MZkVUpMxoooRXr6CDaOLwTZc5LSKljsHke
yNR3fv5DtxKk2oi7adBZcjWgtzBsAhtBtY1S5zAarR6OgmE+JSrwH0aRzEDtyZQTh++c9EzYlwMJ
8Uv4ViCLxcaZbaIvoEyqA0Blk2h7ERtcTSOGQJmIc3XQbcNHwzGenON07tWgTy070peY8bWDILiU
I49M+AnpWJA9N1HbBuCwVDvu5qFFKUwbMJQrnbg9dzagrKNhg15cCAk67cFfeCBO5nFE2+MYmVdb
l8pCHNxOGh/9lHPZGKblDeQyVhIDX9x9bbnmc66WOwUDdcq8PHbxNcQ+fWd3cI9zpw0OwuyLQ5+6
kFCIplKtV+TjC+YcQaQlccojHYHBG1p2TA6QGpCbAteCOEqt5/ATTC0ih707MNP9b1Fv/scNswg0
WAgr/1rg+fS9af+2+l6EX7LfSzy//b3f9B0TqWbJWZiuy3gL7e4fMyz1yzI3YohEaS6JjIUJ+fcZ
lvsLWpDLAIsrimBOxR/9NsMSNNnYaEieCxbqY/70n8ywFk7T7623ju/Bw4DNT5yLEAe1OH/7fdjC
5Q5C8M3xSJ136a6GLssVAp+KilOAScV0/N3bc/31H/4bRN5rGRdt83//jwVk8uefZ6NzwdfjHfF5
IX/8eYkYA6rrfdAqaRMSKk6T77a06/veKqrtOPUM8AOYiitG7MCU5qlH9Ewi1b3MgHPxIAuiTbTY
9pt/83v90yTP92xqKz1mjUL4zNH/+Hv5TUP/4JQjz4jsrS34PazB8FYuCFfR2iffx19aZlLvgjiD
CzjdKN2Zp7/+JX7WfvksbOzfUDOFgyVa/fQ7pB4E9wW2sa9ilDEy/8HJszDH/fVP+ZNPnJiyp5AU
2TWl/xO5y+VNhoafeHtZgqdNh0/IfvFhwFqC/5SM4F//tD95TQAUeDW2q0gb/fz90kJbCPOev/cx
lO9GDy2O6774Nz+Fh/LnbxXsUga7vmPyHRY/fauYJVg1KRB3ryKENK76xFGzjuNU/PWvX86fvHkw
1xgpQ1GFv/ZBPv1d8ROId97R5esbxHQbAq+Gpc4uncriisP69r/ww+Cn0gBu03dl/vSqxg7UttvY
7p4jKNuaZ9kYIgVR7Rnf8Jg4h7/+cWJ51n9aC6BVeVLarAisUz+tBTHUuBl/gbuvDRtrQV/6lwFV
9SGzIgdCa7TUvNXODjq3ONCcVjKAzYN3J5MFVsKxfkhST+9lkfcbmTqBRVq1pkVYUlyp1DxfW1ER
TfWiwq+PXYIFWOa5h7hazeyz5WJxIaBNfoooeL8yE+de57m+/+vXaP3Jc+4rRup4K1iL/+n7CPZD
EGeI3X1YROKYQCc7TkCsoJSoZ4NwY5UE7L06/OFKulxtkYonmCfev3mr/+z7ipSOGYVNX8mfNXWd
kNZUQebvMwxOx9GObzmc+6sFJPqrDvUvG8P++Sf54ANdyWXCU7zXP32mURU1AwQub+8GMRbWpZpI
l/lbQ/nO9t+8tbSf/dMXCOSQifgiAV25v/75756OGiHOwBPk7m2/F9u0h1CiWfGvwnRGXJR8EUTd
PtGfjd2xa6d00+IHXAcO1kku7+Nw8JHY9wSDOMw3nXIeu7hXX5D8vMPgJG22BmUxPQLJsS9t25fn
lEsY8nE0oS1aXTLuMs9X67ojiG7mLr4if/IOFS0bO1xcE7OIBuSYrsnQKO1b/IcmQ1wF1Ivy9pZb
b0iN+00XJeoOJhTVooxinW0IemcDLii+I1qdfKGgNAfd6g/MKPz5MJEq4mBau8e0bt3XWM723QBi
iTmuzfgOUMxKYfk8eQgBN6QJNn7aym2Gv/oYqVhzQ7XgE41d9WRTnPoqOPp/8UKTRogIeyCIkDpY
F+XQbF1qDHcFdc+H2GyTR8Os6jtYth7ENbfCPK9HKIvjIOtXsnPBje6j4CWi33Xf57X31RkaklaB
KT8jvX4CskMqAFCvc05aDXVeS4o9sV9yL5HM2g9FTwaeFSAUD5bl4UeWkcN4zZbN3dwzwEZUcPZN
rdM9L4fBZg+OOICJsWGQ1GWnvowXGZnc/MXvfD7MpR6523Qi6Nx1Z9TxPmNI8J0jE+/JIItLhMUR
qb6zbus2CHjLpOiOdWk3nyziEwt2NanxWkJbWQXa9F84tk0t+WK/pcczZzBER92a8aNBG6yyqYJx
8EjUiyMvDr0qgJvF1r9gk3McdZm9YAt7D5NG6OtdAUHlTtBNrxEJGvUlcFIw6Xy2LEI0LG9toNCf
o0qARCBP+xketNmvPFynd1hyyTB6SIANI30TuDCLB3Y65g8aSDM+6pehUW32ImVWrHrTTL7WKuE1
uAFjqZXfJyQiUfAbyEhDRX6eVvccBTGzbPfHHErkQlKjRbghNB4kew/YwYzZr5sugq61E+N6p4QI
z1UtcEJzFaH47QWxSoFwI5BGpOr9Rd43Nr6t66P2mV/IMMWbHZgI47PBwDexQ39fYooEOQjcYcNg
8DbtRjoZZMk9biwYCtDjrGW5ImHkcPEVTuSvDLroL+h31MZY9QmknD6HxBweZYFtOY2nHa6V6Al/
27iN46rdNfxuh8Eow51ftz73UzPn8x1pGwQ/BnwPbgoQxKxzduCJuHRDMD/Lqf5eAk/bxh19Chpl
6M0PfIeiMFT7o2FpjXExEZQz9wwoLDI+e4PZCbmllHefQNmNh6MPptIUHaNCe7xW/KCyIUdt6jC5
TfBYHzypg2+pnLGlpglhoz4xiW7wET8GWLJgeuG9HqY+2hs44m2OoqCuVN7eC7+ZDqCA8r1mRL+F
QGPtPJNakFz4O0IRZHiI25wDMSTb0QWPobvEXvXVKVSxd25Kr0bNmwfE7ib01kESPIdTb59rTTMh
Zm5x1rr1mdM68pnxX7vNwlBStcFwhlO5Xi6KqjxEeUsEXxH2UZ4RUkJu9RucLP2GiEF0Dqv+Fctu
c/JKE5a0YkIwdB25j2AubtpM4UKpbJy4Je5MKmaIy60YMyQoqkm5GXMO3lLNtw0l8syD3PlR1G5z
gyAbv494kFamIZhNBdhy0VbGa9OXwzERRvBa4eJZAUr1nymFm8lZTsamoNftJgTo08Gq2ZcNWGts
2thO/h97Z7IbOZZm6XfJPQOch0Uu2kijDTIzmUyzbwi55OI83cv56ftjdDUyMrI6AwXUqtCbBAIZ
4XKZkXf4zznfsa+4km+qmhcHgJI25ncDZgIZunihB67oXdLY+Cx/geXkIp03ebnwrinaG4FW42wW
8jySRQ7cJov9aST1qZuzdio6vN8boFBFKAonD6yiHsPa9DA3ah0XCs1GihRiuEWyqdJQmIwBig7B
PquU7wnZqxwd64lD0oLIlbSAYniVbY2AIvrldiQUdQZa9tCkSEEZc3YHuYkSNp0pW1R9MM4Dnchv
btCvnsaUmVEFCqzSoVkpXcztpDMhNfrRuLRjH91wDpdbh86uu8w1z2aNGk3MhpJowwaFOvbtDxo5
XN+ZKZGy5+WKQkOr5ljZhIan0X6D7IVIWMRz6BDGMCCcxxGceyZ9HKvmqnnmXEaUrkqNPQA18ubp
WPgai80lJQ230VrFe0z4fd+Fh0c/yKdC8GlQeDexnLcZPBQGNU5A3itSge4w/djSlQy0VHqLcy3w
6jFQZPF6HRIhf8L5jqgSJOeA1SibJze0K2bPhO++Z4IOmziFWDQ6/QfgCcCwsyCY5wIFyUwBpZHq
8wCH9Y21P1BZfC68hFh9Mhn5uuHl77qKfUen5H6j9Wg02jxi3iriJExTTGZ0tfIaj+JOEAK9Z6rz
MuipGsSe8mwUY0Nhk95eySS6oQRVmfsofaRHI3vkyc1l4S+O2T7qtvqI0ZfMWJMBmaTEfN+BnjlO
szT3ZdvTNxZlCat8X7U7TJ3qbmh1fQc1096xpCjbSEiaZhq9OM1dqV+pI0mDSk2qd9ru5bY1LUJi
MwkPwWoxSa/+ZkNKt1k1FvvFVofnGL9L5eO/Hn+JYrFMYlH4yzKBd2BBk+PMaM2hAlZ378IhOIyp
/K51vT7S3aw9GprXhkKdr6lgEDwzXaOuyCDsomnK8DLkefxtLbnYJnw39xg01INjtVGoVJ64LeQ6
Q1lCjPPa/qJVShwWqVcdyc2g4hOgyvcMAqcdaiTp6qgFql6qD+1iusgz2F8WFyfMEllMwmMzro7M
8lTfnXQ11AyCputUL6xxTtyZc4qBrit7rNsTSogP7aD+1Mms34GPzLuwIti09eysYGrtaQczQf4k
yHOXm/3bLKb6PNXThUS0/LLKpj+1DRpbrBUYKFz90hu13HqRlB+GJChbqu1wwJKwy2vlBZoDCOh+
aVCZK2SEOioB1zS4I+PeLp/JHnUXfGX1TmUT3E9NfKywFjybDZprxUw3QM0QX201LuzcHAo2esow
GCENto6+atRAkS4OKbUH6horX6rEtVzY96t7kT4EBhnDdUrEazNTd1Ar/SnRBwxs87itE9btpVv9
FiRbRT2Bah9wDAxeNzDSZNa/NM5ZJ5fMz0zTBw72UJLiLApIPK+xLMPVN4C+Xij+TsPGoTw1Vz8r
O933o9Ydip4yJyeR+t6oHTyzJA/Z+yZz36XWsisUbDyeE0pyZ+FszzO5v0Zxj149ZYFOs+CeSqlh
UkqMBrkWcIUK0A2aHUf5fOvGOB/tJIt2CYHBncHP34jS+uxaK3pzGGtSSs/bTJiNMtZl3zXt89xR
giGH+dgp/Yub6cMV7Q94v3j3OpynRqJ8Qpt40Y38XKX2YzywQ6WIU9RH/YrzXzhbhl2bpoz80/gJ
1hzAu7Y5Nkh1qUXRo74QGHR6eSqEchI8QSfIHPkuGg33s56cLIz10meX8imJG0jmteXrYnwxiitC
V2/xyI8ojliBi01vzQpfoEyf6BCRrGLVs1jcF7slFgBunyDYj6m2TolWvKMsd3e0QlA3UogsrMrk
OdE90sHl0+hm75XeHprOLHxLVhfDJnYFZRYQdzPQ4DjgvewyalJ0QpyBaTG/SJjrVgila2b8lvFW
HYosoRJPPdjjHCgukSnMS5sOQk/QZkm0tzV9uK+82KIW1ZG/uqLwGJpBA4uU8kgjuh0O0bjs0BZ/
5obDxZzr/lO3omnXSz6vLI3CnyjYTVjSqhlHpRVSUlwc57yg1xGQ6nqUsgn4GAiuCfyMQE5VhhXH
ExiMq7NuisnHEsVZpYkoxwN0TZaZK4Ikd8itXuEMwy+c6RSxTWSDgLqZFc4tvm/urfUGrOKja8f3
pjGmvq2LH0O5hJICBIQPTp9lrvdwHVjzYX77reHdksU4G1n02s3VpbSxc1UT33usNOoGEVYckmRp
2PQrLBzm5Avc0PqUNYTpSfZoDlagtP7pKOarXSBuLII9e24kX5rIXxrd6K9zMZQvE8NQ7FOkn8QY
a3tzAQkOYJFkK4Toj3ToO/LoScmSUmdHp4JyMTvAIlooI0HsiB+V1g87gI38pmoGpTMb7i0NpDMB
ynq7YLP4dojD3ZMr5HRnG3Cv6LANiU91VNip54o7S5hx/8HmvSYDsRZYuriKjguG1bjtW0IaZVcl
Ub9jxPLY9qDioqb1CaDC8iq7e9kq/XZi7dia0PnONdBwDv0T9+ZUE+1lgSazEemUh6rN5ditxCs0
Qwwt+MtDPRUQ5aPO853Rnp50Bbe1UzWcJQUtZ3FNy+7EL3V0hFME9sRXqmt9s9cTpd+x36qXpk3W
ZFJeHYlgg3bPtvaa0FPntqDYrM/OOar+i9Rq+8WdrF+02QE9IXgDIM1QX4uh6PaVlimPTTOInyPP
9hXpwz7PKVazzDCUXdMlw24qp8QfC09erF6WW5MxToCZCCJnC0tjM3KaJ/elSeeZlmhSVnEHThin
MsZJZnx+YciSEvWk6Q+yhOBLkPB9bjkqxky8PqM4oe251WY/ERyF0JrSnZch4U9zxlkpU/u93VZW
kFEIe2xEN7/3yxxwYbK3Ba9vqEoKSqn1NLZjtjIpaJW5piqq7mLmzdFxkiGoJDFiBlH+ALnsTF7T
2+uDpYUTs5R8k4G5r3WZns1JCGwhxbbyxin0eNG5S5Xirs7SYZulgnOlZYBbHyE8ZlWRkITXIJ0t
+EebZcCtNen2DhnfuuPnzFg8yfgvFt0NROPdY+R6wKj7ug2MlNM8F7DHEbHrRw4m3odA9EX8dnzD
nfWjctCdWsjJr8C6v7iOi5sHdTUB+gZeJqX1N9RyMdwpqnwmUP7Kj5XHSniHxCbMJxOOw9KcZ19E
jNz0SaaSL0okF11VmA1hxDK2Za8yCyoVjaljatPGW/H41HUTQpaJ4pBLn/nax0ILeAQbUONs01FO
9ZxbEbdrk5q7FfaG6oFZRfWMwdwjNJg0HyAwjFs6pOpVb1tjm8xcDTf2koprrns/qXDwbszjyDUq
IAco3alpZlgyvyOVzICpd065rMSpqtt8a3tTfhimipFoG9nbVqkBN2Ax9BvpVlgztfSIvA0dFEKg
g6elJlVSLT9GCZUppoHtLanJMBRZJphw2D+dqaZAkACGj0AQb2VpNPeFge8vH+YUTDM3LfBb2YHH
78Ez7Uaj3SJu91NsJKd4qCifruv0Th+GFN9czkT1rpj6woHXZgwPc6aaX0M2tvpRWfJ5N4z4On3D
Xpw3rZrUfGuOzmRtBe6a75qHzPGNZs4wEcYUnS2lR3dfoRIC2br0wJmg1UXxNtpWv1Wg+hAT6ZYn
VY/NXTMU7I5zbgaoJo+Z3bNmeiL/BLyahJmrTYGLP3irViBnc9lYz1FeQSofKEfWxJGIKCWgOXsH
72qxnCtRetsMCAe/hbPgOUuqNsHRV9Qv/CDxDJK3fsvXtRP+8oX0bR5mVeMQ0/G0sNDGhGXO7ar3
BqzrsSOOuV1Mp54Ds24jGoKi4XmkTOsxj4b2Kc0N84xOTO2WQsejSm4Hx3LGlF0WTbHXGo+wU+ek
fQBGe7FB5misiSUm9A0+CHctaC8H/JWjsk3JlxPfSIC1F4Baw9aJmaXPbY5pK2czgGvSK6shThah
Eo3NB35J3Vq/k/zJYf259KXb/xLVaiGNuEzuej5q98T+DXE11cUtoiFS1fIbPLZyh7Vm8q01U9t4
anweLUi/sWYB5OXvQ7k3YPpBuTBwB0sawRwcIhZedIRQQQ9Hx27anTPEQUP616dOyvcUhUrSKafc
ZPCgQ1hxhhuwlS8YjjJARLmhcEGgM9nmKrX3Blf3haDjbfRQnh3ItDeulBHvf5nt6HRENG8b/lZd
8jbO7H60Uk5bzNyI2cv4tdD4eqgm5PV6GV+Qu/ckecYdk1qNjrdIpZmI6K3huSpxRSX3i9Qx9xU0
V586yhbQWHrDe9xv62E4RqY6of+7Bg3zTIUJVBFdd3DiYzBx0igosxIuo6HOzg7o0UDcXG0In8IT
2jkOGWUWL/pScXl7u37Wm1fGH80DBSzdLQZF9+Z6bnbPJ8+9mNFdqA3CuecsBzy9jd2w5O0L8I39
ApIu9t6iTffWElMBCQMl+skMlhM+83KamYwYV5XJmkdUTRJPCPu8UvLtGLdwTPPa67rv3FS1CWx5
tNBeP07IjvBdEtZMo/Ge2Ut7a5OAo6BueO65BueYupdD5834eQROwV3sdjSt1E557qw8e87pLthq
idviKKL+ETQaiktEIwMgbn8q0mRbJDV/ej/KmzU25q5sSCgxFnH4o6XH+EIy0SOPMDFE5yxLJc7U
6hjzc5bpRFfBpEaTX4kqgEA23EdFEXTgqIGQ4aetKBsDRP3dL+K56ibvuZpGXG54mzJnE1cS1pm2
vJXVhCN5rafucj1MBlyHcq2ZbrrYr2cIpXHNTAhBh4KUVHmRo5IGXrriQoY299NkgWFKyXaJDyvs
am5duLWxwAAuCuVgQsnAF2ccOMEO1Qa0A8ButWNX3NTSBctm1SMxB0HR/MaUI1RuV0n6BTOfqlyA
5s411QOUE1LVQxuy4RjWHYe++qDjxth2adI82sMMlBdX6uroLyUqNQMPOMgLlJerNCCusoAZ9pMa
N+1e5DGXSMFtpQ4w5oijAqyj22DgmsLcxZvUxow11dGx3/i9lrCbS7kKFVb9YixDZ6w3luIaqXHN
4GZpja9Zbzn0Kg2evMarcM0zWWye3XldLPNhHSHnRmR8m3ZOrnx0XbBCaAhsb8xLXq0pd966OXFO
KFL1ucAicEP4dA62bhjPqhXHdFBYv7cxK+YIwq6Q3vswuzUHGaWsyG0vncqzraaM02yGdvTw8W4R
na/agA6AtdLONJ57XuGXSM2a79yhAnjTebK8xzSlIzG0GZUALXjrr1ax1EOE0Wqvoow84uGJ4oDS
Jcm+U9s/Zsd07q0mK34WzhIxMY3j+36qzbdeMVYnXB+XH5nlLcemNPnnavQYQxQKFyZ/gjjue01t
PXo13SdrQaL2Iek22o+io2VHuol9zdWIaYTbyviqLNRHrBxIPYnSF5UE6Hdd6fULIlL0WsZl/a7w
7m8VySef8XHmB5uT5J50//IKyjh5q2Jwhps5jbp3XSj2B1Ng8wf9c6DWmwULgYH7yZQc4RcDO23F
I3JsFBPMQknNCaWs0zddEVDumdv4tHqYGyldzPJzWxkvilWCUJzU+SzG0XvPND3HHkbdOOHY9Ggz
ZsYepnRN2NQi+lgYsvAC1EX77lZddATdZHOoXgqxyzkAwsQqZRLGg/XE5lX9GnD6Xm1stzvEBrIp
FpWFW455ma/lCpbfEjc1OrzK7EaNgkGLi90Q59kFHwcAJJb9dmvUTXlFLuu45cXMu8gFcSip9LJ5
nOUIV57eAOjKM3xn3wR3dNa7sTiYGMwPE1FjOnTq5ot8IcJgrXUGDjjsWQs9hWnxJL1RVQNsqvWZ
BYMWGxO05JW2QlHvuCZPuj/oLbfourSytXinyDln247+qdHl+cDAeryqatQ+WoNT/6K/G/+UWuXH
pY/sbwB17jnqmuYUm44Ck1kbjG+r7+pfuZ6P5kYBGvFeYT15y4SQzgZLr7ADjFgYn+fRpGN5rgx7
z6MKPxKB9ElaLXxnahgXaO0wcG6K6MyX2CnLryoWL4DmK7+SnEjIBlFf4hSxNjFxb1cq4Th/lCRo
QEMyO+05T1HZ5TB6X3C7MdazvEHC4R6hmG56HOX5RrGbRT1mSWuWONk0TOoChuJlnjqrDixUV9aI
mIZ4I066uyRj/wpy5hXhuBAt3pTVQJpEd9lsdJkjRDeuop6H1pyQrapev4CTYmDndDCKLduJP1Ya
eE6nuXwj7U39T+nQcDiUor4lfFFuSCm8+SwRCIm9ANb64mhkErQmo/GZxdXIcKVoHHAOTmlwkNLl
PIc8zZncRcT6WCCExKPneJX9o689GwAZR/67ODKAnXTrzubZ4y5eFKb2SqV5NIDMP4XIlw3KMTAK
rta8J5yR+A0QEzRyUnXLlssce0LHcd5jXP1fIh4jRpYQRRJ7xiqiaSerY4TJXmAKe2cA/0gChwm2
voHgjeBh8H88ad0wgICYTa3aEloAJdprTt1tzSRldEZo4zOiSPzgwLWgyyfu4LFSb5TSGBC1n2J2
ZnZdAo2bAelmvstzpaDVrLPflhbVARGDy1sJOTXfiyI3vrKiU+9mIOxccNfWuHkoq52RDza5s24O
bRj0iHludRjjHqHMQUy7Uqc5QRI1e3YTQmOfS0Y5DNNJRbxmTlLC4eE0gQ392xg0D1qp6R0z3FbX
cTEwmfJry+MspDjPcw8+rE254895aNoY0xXUvh13m5rWGZJm3607AN/0aBG6Jq51D60+3elxuwIX
SyPF269M+6zUkiFEt0/CSpofVq3ON8XOzE9QOx1teSoQd2pYesvIng0nKdQ9/n6P4a/ZvhGxrk5K
XGuXoqmVW6zof2XE+FfLCyEWXFBs3FQgm+Zqn/iDYyHJVQcuW+uud3rEU27MV4dCnHvKG1L2bY6q
94OmZM/gd9hK/71hwvzP7BJYUFBBddBqmvsnf8+iK7abknLbzXbc3XsUHe8HIVERVGR7Y5xUP+JO
hjCuZsPXuLCliL4vw2bIV5iP/MwbaRGoKBl2NkSOigqBqZpsCGgc49Gbde1agaRlLFPCkmCAShRD
2GZ9pIJuOXcyvUh9QKqwmA0aOLUKvx/zhXWFEzB7faEw2M71HYQYBWycRvKc3owNfmFCkqP1NPVc
Dqxx1q7Qwz4z2AO+4gyg6RUWfNpgnZqu0tUqNbnGX3x0+r/aCGGkqhBDDUNnOvjn+smSR4mPz+S0
joeSe4N6JTQw136fzYdKw7I0zngziOmzKwEvvUtlP4ceKLaGh6nFwBSATvAIjiQD0dy+tLeZZwwH
tZbUMU3K3UQT2NYtcg7ARpbtAdk4f2HMWY2kf3JbeZ6FoGW6/C/+nNU594dHL2UvaQZPeDtVNBlX
HLiRNGAvU3K3KN2NemY7GNicfTgwyRFoav8Lxas/CHV16zFws7QKuIIciRNW+Db+4tn8z/5yJv1J
OKAh8f3ZJAiBVrE1wFK7XGNQhRQZeyc1qsRf/Ji1qPxfPgQqk9T1FWBp1/5kRgQxrJgyarwd8uec
s307yn4cRR9MU2H/1LnAs0bmJBI1UOBRP9i3lEPoBLOrBeHX6d59Mbs5thlelgbW4j30BHXe5NFC
7iNVn5ouly///qPR/mxpZL1WNctSsU6SJWfh+OcvDkYIDY2SZw/COIsCcDPLd8izbLIobzbM/c0X
L7+v1bR+LxamZ+g/NDsNRXKcIf0HmBnmLyvzptPvf6//bsTO/ziTNmooD+nqRft/+7QvHzi0P6qv
P5q0//Hf/YdP2/qNcSRUABMAvW7/ThTAftH9/W+e8du6zOCKNFSswerKbv6/Pm37N8YzpkchFNCD
1ff2D5+29RvRYDy9XJZsDMX6f43Ds5rB//iquEAQDDq+XE8nPMmhdXU2/mG9WFypq2xC5YHx90z/
2gd5XpYnbrSXxJyjU1r0qHJK+Vw3uR2AQVV2rToVH5NpOWfoghpis7tjmwOr2YzXyoDKalbuc2yW
XgA61iEeQ1wbyimHDZJMD4OgVX0kehuMTV88yoR0HV2eYu8m5ns2UCgvmcVLhpyuldKBSl6rG6KH
nhs3N2BSOzmVcwg0z8yK3VAM2ASgcZ8gR9ofDqWYuwGAgax1zDqut5yLcin9buzKTVHwWmGO2veK
O4ajhKyuE95CZ9bIkPW0PrZlk20mAptMgZWg9saHNjEpgKTfTXfQ3ssTvJPtLHXmUdZdLRqIe33q
97X+bdH6d1SSCCuVyN1lB071MeWzva/Tsg6HRWl2hGueaVXBXTSeeosPk+mWQf6TXzk18gvODxyy
+Furpj0baA44Lhj/plP3iUsM4t8LHZTpRraFFyZtfzS1pLjAuH6hTRBrUQ+eK5jbkm4yza2+O3NV
Pu0MjVwLSHVtqjl7ar34kDTQ7IQzxsHQNBsoGDFpzGyvzP2DApUfAUVOz326WAfDoYay16cgzevt
3PR8NE4b78s6Th6rUtwSY/gZWTMjF46m4TTNGNW4A99bhiAdZXEjp92q8Qn2ZTu3g/mHN8g66GvB
olHWNyNfRULNMPsgK5P5US2iJeFK2jU7yGrx/WSfvdJ6NtSMngLG7tdRcH/inHyOVfM+ySYmn/Zr
XMyXIiOT19FjDlhNnLg+HJSFvkOyK2OMa2NKtzPeXL4qecH+9J1XjyqJc8yXnrGH/8bgr5wxHWhb
k9ifOrQg5UBDwqVYUel6e4GxfcotbC+zU9FG6YY1iaZJqs9R+aIXlI42SanArF9/dnZoOdEKTk7P
6Fyp72ID3kyUFsoQerr0S3fUdi1MKaygHyal8GCPve8igzLERYNW6qMTtVejQ7ZBBaX09iaWRHsf
QKqTssW+YDL2ePTsKoQYwTBGnx0LUVQo9/QAWFdtXLqQjsFkh3BvfZI8hN8u8rSjmdiyr0ULMNqI
JJ4gU7gf9AbC9oDZdqfACuOEg7mmyKLiNWNjHnwKMVOcBIhtgJ3FfnYEQCwH2BOPqjyQKZ3f51wC
MG7H+prYHHQcpyp+5CSaHxcTvlGh5sQSG5i0iV17d/RA2qGGLSbsNNpDe2WZzuVglk9Ll05PblP2
R2xy5XNJeV3YDjoqm2g88UGCyglazvsXc/SsM/GP5oTRcnzQ+sq4WNrSHztVaO9aVvRbJ64nMsie
fdcSmjoITIT3qLDJL8PE+b6R5Sy+GkCqXOcHPnUuxekZkOp4wjjd3RXQhzWf0a96dck13yiYay9a
pGunMq+TZ/hL3rnFlnjiUXFOhjKqp9KsO+5YkCT9HgDiTivIKIIXiNfs1/yQwcSo/uJ8Q9Lhn1Zt
HOZAV5ntsgu40Nic3/Mwf1i187xzakPSBuLGcXFpTFEPh0wO8tIaVRX0GDGDRhvHDZegPtA4fnM/
o+LZmpR4a3b9sz1IJSTd1/IWZJIVFrU0sOIUvFVCaj8x0/i9i3q6kNM6tpjdqNkdpRAXJ7KxTLTe
cm1s0IZm5BbnOS74otrk2YowAwviOXs5DZS6apKh8mw9wXyiP7QfadPsY8jLIyPmp2bEz7zzrBlK
gXSWFoJkxR+80XEE4CJwmnlXLQjQvkyjAa5rGSeMfgGwvysadIegpVAYNr9Wrdc7913q8ZHYKq0R
unvrHfKyaccExbAJF0AfwURN54uKl4pU3UkxYnM/l1Tp9r1xa6bulDSCbmrH9ZuauekwWUelSCd/
Acu8zcF+bQgeL+jVGW1KSXknF3O4i0QNupHXP6UjLRxkHK4xAD/rGU+AMMaeN9rxZ0JG8EjwB3Ek
xvhFXMW61DMqcesRRXeSPLs1i81NmknjhfSws8I8eJQWh6dqUW31NK4GlLnPJC4UxTv3loqbgM7V
E5639pJbnnqrNVu9IqPo1HClQ3fHdz2dqsZOz6PaeWfNxjZB31kiv5y4gg/MvTX5VRY1IB4RTZgZ
eVNI2tp37vr26Ot71K9vVAGY8ogB2LjkSjU9NG3a4nmp2J8TOVyaka2ysoX8aJknM7LwTBnm6xvs
re+yur7VEciFJ8Cf0xm0YHxoBjoW2nUdSNcVYV5G+66hw9unH3B9Dlr3kfLV4ke6ribLuq7QsVH7
5rrWWOuq063rz7KuROm6JgGvUw85caZTFdssWVMnyldK3Hucd6WHM2YEdNv1iT90tvuRFditm4ga
PNXOnWtC5y5cDP7tOw4g9qcNoGVHAKYLB6qQr/zbyn3f0kmg1bOJ4RholM+tj8mcGglAMJIKLB4P
kj0ydL0c078O7G0MUYbwN7Xgf0tfiw1BaTBejuFSOZnrk16xUFIcD0Sw7k3kgbXRi7Jjtci4eQVT
IXBiWXnToewaebevY/zyJ71Q4wlpITXFpu/cod/i/cbOA2HbqyjgZSq+can9iQNvntp4Wy4Ww7+J
gIwKcdAu14xNBtEGBsq9AXf67MaT9YAVAFGT9PpWZKZ2k/h6aOBcIOLs6PKET68IjYFxlOHKrDEl
/aRusx0D1yvsFlTzkijbviw4AQ3Z0heEXQb1bSmK1PCXpNJYW2bm2DxiWqudBNLeLe9aPpeqfaCg
DJxvlhF3kMyuOr3aS8tVw8zpnrvhZC90w8WReiZX3JwZx6obvVMinzMq+oNI134dAq9aNDNU9GJU
mhrnu2HCPVGH7EcDvjREGfwEvdP6rsC86s06+kY7XuqOd9SW4mfq/CzwqB5ncIesN7Azho5twFiF
1syh8C2pHwja3LIa/Aw1gFctgp+QgKwk0IGDpSfbfweg0t4X2P38NDVwOyg3pDT2vJTkLYXYtJcu
zWcBHXj9juJNNjfGRiTjle38edGa9Nsyx+Qge1IBY1Evdxm2ReIWdffCXGcOMjw9316trb0YaDOG
L0WnIgF7qRP/n9nH/7/nPc3Nr7//7eOrTFnhZSfSz+6P9zWd1MO/u+P9Lwyd5b/+B/9xuYOXSggR
oYkBJj0b/wRZdcjfmo5tmqqp/7HzTHd+4zrIcufY/McE47hjyrrvkr//TYcxR0yUbR3EuIWfQ/sv
hXC1dWbwj+idayInevwkSHKeQwfu78OiPxwT4DyOKlKXQU0sKJYNYjYQol6LjGynwl6rAP8vxdVN
4Q75nme4lT/Ec4d3GaRV6SedM8iNsFRHYKjrNDIt6mJtjNLq6/2k0Be7Y2FU9i70na2uaeavGWkF
9BAt3kfTKnoM3D0V5cS20gMMsm1GI87VTCv9wZMUksb6DOca/9dpgtR2kHE0nXvdfHTNRvJG4q1V
4VtQMqpTXCEZgyPNZECLtiTSjggePtC7PgCOvWBgR4XVOzI5i3Dr0Jk58Zh5v0ay6BiqW+8csUZe
SOLEEFYT/HNpegdMwg0yhbH3ghoX1pbx1XAtJw4sP6syd3d5k5JWltDJ+ymaD1lTdw+L541HWiKS
L6+1sdDOGjYkrftwJsXdE70WIUFUMxg9fqabwtsaHO3StRNo694K1WmmRD1TLnYLWClbfnooHEps
BF0ZvU6tcde1xcl0sqCb+yN64o6lr0pAeCmfkMzHkK34C5FjJ02IVLk9g2hgPKmPBsUYa9wROPOW
TnOcCTHyO0rRa5FY07ZznDc7U08Z6/nGdQICucJP+6ndejHMHJIPQDJGJvvYVI9lWdMHR7PBpGBS
7IvumouGs/gyrTY4CkT2CPo/51EpAnq41YfFsPX7uV+FCeSBH6XUS8o27SH+1NfiXm5q/Ak9tjqC
MeanEEwQCqrG7ssyJo0z2fO3wIy86c0UAlotp+Uub8rxJJL8Xl2XSFOMOJbWlVNb19ByXU2R/7qv
Zl1qKfm+aa13zPtu3W21nM1VEcY9wjyIMZbtfF2/R3u5uSzoOQu7Eo/OdSnT8WANRXqXtuSdQDFE
+tUbMKql1vxZWKT+XKX4QafScJaOTZE3OMLNgI51c5ze2jpNmzHOdTGG2ehfWTNuq8lYfIyh812X
O/eaYlq3jtu0dnIcSBw+Vn22xGpW2B5LMy/7sPt971SKkeZThDD21Gzglw0KLA8QTezewwkCvZ2a
ht/3ZDh5tIQpiFY34bIJbzKjlEMwpAaGscKmKcTvB7L2m0adEFilAygxgNqE183R6sgJIhr9+m2c
aespQqnopEUy5HShmGnZ7XvN49SR6LksiYOZafOqwIRLU95nt1sw/4CX2Dhq7UISdiuqB+h0mPdu
lYv5jqtoQXkW2FTY4JUQ7mOptzSrwvdXaurW08Xj52Yeb4BMYBTHOj4o5gNRZaI5eJCdZy+ucU8P
BJB2iWHPOmUlHKC3na6mSRiViiu/anq9S/Rbl94LzmQ1+HUuYz+wic2vFbeKo9dl0VXEwmXrJELU
bux5Suo9QjkOTJ1Sxcq3s4mTA525sRU4ecGH5aBDiMHccrGOn7Fe8oZ0Lq9CyjgCtn/5CBWt+zVG
a3iEjgG6sqkk1fKrXWdlFi49065t2XH+vyT0CM/EEJpkt8Y7u5VGh/yh2u5iBMxBGuxLfeJoB7sV
Hf2oAjZ/6Dk5fhO9dIn7mYO2fFTUJ2CH6ZMbsE+iMfArCUk0xFq1cuAXbRIyqHM0CWvTgr3m2HCE
Yav/yO00Wckd3ccIrdKEkzy1576WPZM5d8kO5WQvHy4MdpDTSC22fMo65ynppje3Ypoiq3Z+dy2s
4UueFA9GprHspbENLKTqHrFvMMYapPse69gqN0ZnLj80dfka7T4KhNpXL5EiVrMINhsAV3gjujv7
f7N3JstxI2m2fpVa3R3SAHeMdttqEXMwgjMpUtzAKFHCPA8O+NPfD5S6SlJ2pW5t2nrRqzRZigoG
EOH4h3O+w7+Lm45tpSM5QtVYnHv8I0TAGCFXdJyJv3Ej/Hur3Dea67klv9mIJ1THkap7cjY9aJNb
UZa5OnFqfxhRXJMPHDf9fVp4ubzDHEoYOxlR/mYaOveEtAse4EyRNN05mEz0IbcbJl1wv4jC8qz4
jWwsy1mphBXIQnRKHgjK6seXiDjAFhnD5OlFKoQ5sXmP6sxgH6np04QNwV+5fJatlU+jAc2y1jsr
7FJQwd14Q6OfXNtGGa1HYKWXvhxu5wwLdhi76a3vEiLR5bp8NLTpnY0gnz52k0MOiWHCERxR5j50
Op9v57At8hsC5KtPJXylA2Y3dQzHwiOBbfCLVzdMrFuA0EukUh9cTz2p6qveSv1PkfAHdLMZdtaW
3CkX6ukQQlbtpf/Vz3VzrueBDL94VEhpg8pD82A0Hv2WMbc4oNw43nqsA/OvOAPJJiQZwbzKRtYi
FZ3lU6GY4CFwFd4uYNWQny3A35wKc7xdDD4PFTozOGiZKr8Iz6++jp6hntGFDvWGER/sRocVPjzp
Ho14Munm2qgSeRnlnVFc5lltPxipbAr61cnPDplV2bijE2NMt6DPfKh+EbpSgOnk79Ug9S5cK7Pf
KqMdb1Ef+Q9mVeZnuv3EOrV96D3mreW86IEnSDK/ywuKOXp2R8O8FeSqlfCA8umymuW48QX4+VAF
gNMixzrFkeiPI9788d1ntHEGZRqcEVWb7fwWcdVaE4cMdifQHcNny7hic4VvcIq6ZgCLlev2sjCS
CsRhVJSKU7LJ51VrogMbTD3n2ziHh9n104CnScrOuW1TUsTpnPnQERkvx20xjqEEwBR46UWAk0sf
/XDow6NB3GJ7MN/56UgD3fJ2dIQxXztuGItbw5xh86D1hb1uhAuHvZMoAsgo4q2T8rGw2gsjA1Wd
+FDi91ELC/KclKzKmTKCebfeie92rR2mDWmqQTW9U+HrbgGI4bld6ZQB8V3YJE79AQvHekI9CE8X
twMkGnNLBgo6jBgvB0io8TLzLIgnfRM8hFNBzD2VC7x6wARIvpvkQFSJJP0UsH29IO55nhXXcsHe
+x6rhHFB4QfzWOUbcp30uQttxIVlJ41Tgqa+WdffaPrd2H5msA2Glg0t5QPc/W5WyYYwLIyfIPlb
JkfbHlw7PLPFs2oNzalIk+gx7VByZwj+0OTWbvSAfxfeP9VNyR0mBEC/5wG079kArGbICUAAQWaA
rntH0g3Hdn8j6Miv/c6Tl/kSNWCrJXUAHSEJBNW3NIL+PZlgCSmAtyYfZ2tEeFfNMzapYB6G+0mm
qj6SagBYTejojccch2XYKkiSI1z/6JAnJiJL+o/X2ioYlhD6eqPt6qbxrGnfJQPh68ESP1tqB5Z9
7W/KwTk1GhcBseokeWDcXQEWPinD0a88MNL7yBP5W422Z99kjYUJSBrZ0erbkH227TVvUVRSgiH8
RROJVh6nCg+oeoqZe9tJm1p069LeNdIzMd9LHgR7NVG2XzpxH+y7SomA9KtJXxN70zJzm6vPdTd/
7smRIi3RSpB5EuvjNLtB5kG4sfIi/a364Tcdzy+bX6RtgJOrfjraiNPgzjpde1ESWvnwQw94862F
+hE49PPW7FtjBVWHVa2A9y2cXzQWoy7KKgwNdfSmFhAuqsF03cxMBH6jSPhZSLK8znJ/LQQJJh0h
f/x5O0c4g+iBTwxHPZTDa7o84YnGpSOIZh8vxmRkyZd81DiFbEyh/m9eXSxX6+f+0YKXLD02kWic
YNr//PIJWEGjbmV/tNuk3hGd198Lv3B39lIcjKrLb/1GNjtY1vPHbK5IqqCaGM3gQVNd2O9lBnNw
0vGoalzqfj3dTB6sXFc2E0M4IJf1KtW9V68MSEHXXdtyVFUIMdEsYWWAcfFtm/0vuSV/fkN0wibL
dS6szzZ2ud4/NMRa2jFS/6E+6qTrCGwj3Q9NepUQZTQAveQZH+W+/A2d6s8vKpnT2iAtqEwZEv7y
mWzDMLJZSna8aKTPzF6ppfuPwAIuEm9uXv/6k/mz/mP5xPBiaB54g/xLIJl+fodRIEWJd6A/Kp0Y
W6cVJKkYu8Kc+t+8qz9/BSQfS4ednceQQzrL///hUgoUxDX6t/KYDAV56LZVA7qLSssZfrPteFdr
/PwphFVk00UughbT8X65aaR72qmDi/jY2xarpIGSIhymmBgVItxgbggpuj16ePq8OlbddYbb377x
LWfNgyh+A8dC9VdbOBL6dgj1AXwi9WH7Xiv+9cX/0zWBQcZHC1yUxWVxFibbj9ckMuyobysyq7I4
Nr1j7Q/9DZ5imqV/+3UkX/tvSQWOfF/q/3Dt3SbuQFoO8bEMaQZY52LD30So5L+hw/53KPiboaD1
PTGC+/ev1R+Pff/avmbxrwKQf/7s97QJ6w8mgD5LO0HoEr0O3/9vChDP+8PxpAXbyKIi8vgqf9d/
SOsPGy0Gg0WMWe+CoH+OCP0/+B8+AhAYBYuUyvm3RoTez5vEZSrIo8VCfoJCxUf89qtUMZzrloAl
SAOpU+R7L3cZp9GEs5sLPeeV6HBxaxGfu2rqzCQtjohLkC6zC9raBluqHE+dgw5ZZjYiDw5Tcgzj
+nHQ5aYcR1ZmHvlysdugXQVS/SlOhv5opol0V2kfGck60CXoy9F39NGYCUte+15i0tdZErd+o6+F
xEyRA7o4pOXAb+EOfryMRvCyZOpglHX7hREG63940+EqKBJEJ4HlX5n9kJwxRSDXEKTzGt7Q7ApB
ujnPyWTb9al/SiV2qwDCxJo5mbGPUxm8pYWLE95pZuACFJ7MNwfz3oNDfp3VLq4m5DibQuJv4Hmr
9IVhJWIDLZ34XO2Vggi1qEpWsWhfwarxi6qIbEdgSnCyo3HOFIvVUaw4Iv1blafRxsWwcTMy7/xk
FnlzZWfm2dbuSx9g2GSWB+kUeMOcn8eReGRnvsUCS2SdPdyQnHgJC7jdTLbXo7JM9uwQ2yOO8Inw
cZrcHMdyURMINSnCorPQfejJNGGFlEPp2Vh2ciuq9NRmEwQEv7A3IYxvEhIqf9jRNQTARAMMTTik
RPUKdXm+nHFkvQTp5BxT7dc3urPArGq0pg+5nTYXbTp3h8lF3z3FcQ4oq5fRZkauz9xlCeNwi8k7
jF3jHfJoGB9H6UDcqSMnK1aTZtolDetser5xrASzzk72IREZDhUNn7SOCD3lPancFadSAL1hF8yK
yeWKbEO7SN4SV7VbYC+LvaKiVq2cuGTA7ZQvtEnutVdhLcgtM/3U1tXH3p+9j4AXvb1XlNldgSbp
Bti3+4EqIF/VDFzpJhvvzBI0QnXgxhtk42cCs6LzCDtk1zbSOASmwvgf2eLWM3Jc7hMqnxoENZ9o
Z5mfWeFwRdxEdplPNlkmeSYmUkUL6zyjRZhXjpV6H3oPJvYa80F85Dk6309JNB0L1Vk3Akm5vY2c
enyVjq9woWKiI+oqRduk+xdVhOocQtc/UOvIh87EW8R2t1Ks9tL2JQf+3DIygne5Bq7gNFcBHJxp
FaqCCY1tIW/3UIhvM6kI6g2VX5OVmU2s2w1epnRcdTO6bvHBpsdWq87gVkDi8eJtFwnou+UoSegm
fWEtuxG5SirCrZGY/jXHBVvILBHJFWjNAJq/nd+oXvfn0Q3Mm8ka2ZkKxvr3UC+tCzvrO6DjjVV9
RsYZXZs4hsgnsVKxG9umIynSw/YuLc84ET5JfqKyAOTwomV6LbQsL8MlEZ1UwWHbh1O57XMr3wAf
mA6epwhR75c8dX9JVvc9BCPxkrY+1j04fAajZLK/x7EHLsnsIg0FgKjZPVsxue3me4K7FP25NEl1
j8lBeXFq2PUQlWEFr8X8WL8HwTtLJrzVFuKTteTEh6ohGGVu2nuHUcYmWfLkkyVZHlUa3615yZsP
o1zd+ksGPeZ/tSSQk0xf44WFve9uLa8/GI3ZHjwgWUiOQvMQLNn2vWc0N5YbFDe4AZwPjeGqDybq
sC9KgspnMF8RFKd9496bB3GNftT5YIUYn9ZWrdBtKIxzSe+lJ9L4+EiXUn4ts9DfVJaqP6CctzZG
PbUfEvLJ+VAwSF/leGO20ppd+DkBob5YnJfBrVqPOurWjc3gYmUguWAsWIS7GISXsZK+mo+Y8uU5
KhLCWQsgKX7Q+1tcMhqMSmod03YInmHse7umE8NdE7ThDX8Mlz09kDtlFfsiauMd6+DmCn/3cIW6
r/w0eww2bEsUL6jtgpfAJ3yTah1TwIRnb9JE+2Rs7ZmetMTH+vjbj9CEmq1FSqe9dqj+LnAHDRf1
aDcbJmnt0YZ3clM3U7VOs+SzaCcfd113UccEgHk81Yqweqmlbib2/d5d1CSsfKf56Mde9NCk+fil
7Ey1cVs54ftUJWPxgc3JFowSLDQzB4+IDgadk4EAJVr3razPtWeAg7CZzrdDFYHdxKhN8kt5cFKW
TEXirGz53M7thUNozqVVjYcCg/rKS6JLgiNaLH7QmGZGFHhOmwMCCzIKWqtdWxOxtlt0bQmgIqCQ
+UUme0hB3JOC3ctQMq6PybzN+jQ/Eqa2vBfGYNt2QhISt+0LrQQnMygmNuVKTljuTEfdtx28gcEW
eisa5UAILMY7aSDd3LKIDg6TVSNyQVCK5Wqi6U/vPOTlq7wYuhuz43lWA9w6hIGoP0EDKi6mmsuD
EMd5KMxC8omt7UuCD5mKk+OxgcY3s38S+15qfXDHSe9LgLnP8OPfMh5aeRG+xpPXHRS7EK6Kcegr
bIN2tGbHEB5Zw1bYXwx516FPvbDTyry3kVXCpDTS6ZrpBZYQ0LUDzrMYZgzZP9aOyYZAPmcC5goB
KVqCGCa+H83Z8+vhIEHm8JgZqreCKesB25p3AWhUv7axk61Y5dzAhm0XSamG5FiE99yAgmtKd0xT
ibTOFzPuna6Jr6wIMQh/UZKMM1n72tTVDWxT89wlSfGsRnPcjnFUm2vTGMd6pwQKVeH2k7mizQi+
FoZk5mQYAQEDmY3sQmLwAz+oki06T9feu2VCHwCX686LsgjF7GSPh5J4O5OYFyBaeyMoqzvqi6S8
zCNoAhujyBmxcQys4yMgCe1vABek6jqYpvZCBW1+y+A4+VJw4kAUsV21zqdmGSq6ySNw1XSbUu6u
/cyykAOOSD9FqUkVzzx5KMI4YRuGWpYZLwGUwZJZ44vkYBaJ2A6equ/Iy2AATKIWCz1esDsCJao2
wzRm4A/BHPaUFuuuySIGeGp6U8k0fVW1eIPQ3r54+fjq1iPBzo4dVdeBEbmHQQ/9QXtJAtFSqrMn
l0zg2hxPCzltU4VwZbyOvZECgLjqzEFeyMZ/EFqh4xIq2wr0wJuQPOZN3HnM1OouguzmlLu4G5JT
Cm7jurdCYx9WyiCosej3yrFcXIbooFziW9582cgd39EIYoqW3IaheCDz1r1MpB/dmEXMtA6XLYAJ
hF3oaiAPeRGIt5JH5zoVOt04dg8nWYxBdDFjdtl1HjEALXLbT1Y6TjhV6/CmSEhQMFWFe48jikVp
6lxBD2IhmIdyGzVGxH5PIsZRfgn0kOgcZ6tzdDQOxFR2xInytnFowkzoocJRXSnjWASVffJ81vdW
C7SJDZF1H/ZBvG1r07kcYK4dnNnO9pCPrQ9EbVToYVET4P5WxyQPqxtPsQBfDa4WQKNMI3kGPopV
R2X1nSllv5kE7H42/sAqPI2BgQA6vn+tT3eQuGJrK6afiVX4By/s0ZxFdfmVhaJ/6XZO/jhmZbHH
i29uG7T1B53ZzjFoZntHoqZ5LMfaYscfBjxq5hJH4RKTRj7NdO7M/tYxO1x4NcJdDz6Mn7dPRlht
GmXHV+NsfESQxw4LROujLHPCPpnvb5KKpqV2vW5dC3O6qBlqbpmMEgE22Qk0pY48JHco2FbxwUB1
XvS5uiMfHQ+2rQnRxoTPO5g8jPAgtn/oLP+LeaNYRCk/jOL+3Kf9MkQyfFZ4ihnxgSQuaBzSyTZE
XnvEuPnJTjiwFUG9GY9NIJDSogh5nv2xvhaxjk4+bu6P2JBT0sQo8FdkUEX7eJjrh0kSa206BrQ7
LyPJqQ2Mm3JsRcyXNoESY3MHzHVgU0oYoUiebReUA0VNOa5D0ZewOTx7S8LMyfcT43PkVtFGQrS8
NtK8OyAO+DA0nXXENgycDr3jsxgGNFOWg7itCaoN+la+tJnjXNl5RtYmynFnA1dWI9v1vBcq9WgP
SiZld6Req9G5GXqCgKlQVnPGyhuN7LxxdDzfjkN5DpNMnxNCDqjAmY2uTKslMCUb49jd5VOrObaj
1nkTfYNNehnU8HCHFA2F0rCqJy2KXECs8DOO2Ngdz6HnzUdgufCd+ki4t1XVjdds8VKyQzkOUEBm
4oszmMlbHepxU9uGt1UEydxVwFAgmYJ31KHLbqSaR/eE5tY4OAJcR5fqqlmzr0s06djm9GXspucu
1s2O6X2ys1kB7pypyXc4oMnkqx25kq1OyDF2ILlB5kGeMwBlWg3V2G1JEE6udVbyhCad5SKkf4UD
hKZzJacxueOLHhynYFJHUdkIKokSWlnJ3H2tGdhHJHep6SEuFDvhgXph8amXoHR9y6jOZLCnmBSX
kjt/L79x8RsnnsIU5agdui0XUuxMevl8Zao4vpZLJY9ikbMJx691wTybSh/yPwaQpf6He9+fg6Un
yJbuIF/6hCEfhb1qI8O/7lJlYS4PuodiaTDa916DRF5uULu0IPK9GxmWxqRYWpTivVsJl8ZFIRVZ
Fa4Saz+eA7ziQ2NsI3RPZGgtLQ9UXdofy2vL+tA33oQi0LUu2J8H29mucRu2GR9c8prTNXtA75UM
ILECzYGiqBz7GwhJ6X72saRwiNFv6Ubf14gqN7lR3xkiSQ61wQWTRl3d4Q+x1xUqAZJ6ugmEM6Xw
hTeVzWmMadJsqCbuakiHeh37lGFoNsFgxZFpPSGXcNYDXp2bwFfeh4Z7MK/MpWXMluYxe+8j0WNk
l3HWMymgybTLNF2zyqbzdN+70GBpSGtia/fN0qQOS7s6WC7ZzXSw9dLK4ubhti/tLb/k0ujS8rZL
85svbTBZoNkdphmA90bkfyzt5uNEjNInd2mgEfi413ppqsulvUZNQ6etl6Y7XtrvYGnE5/eeHHAm
EpelUSc+Wpz6pXmflja+f+/o2ScAn17afL00/CmHdBEidu7Zl0I8e58MZMuQYFjGBc4yOBD9EGz+
+kR9H4T/c6rMgWrjkGVgjFEW9D4GqJ9ntR16N5qExtjPvW9flOSr9CL0t5D5gq0Q1OlsNp0b0+6J
BCSRXKydZICoIzzrI2QHmEwgmKK3eRzURZHb88nwrY6hswyeKQyqD9Kvz1CWO4TUgQYQK9Vdizl7
YBNbZ9zTVC5+kjk7mD1N56K4Q0ztRoZ30fkEbm/7md+KjI2Rygqy7muLwrbhmePGKLGWgyx7P9PS
9/NNv5919vu5Fy9HYLAchn99wf6UsfFtUkgxvdiKwdf8MvAPWgAruGH9PQme9/pZPjevxnNzp666
W2xJ5bWR/27K/auNk1e0TBt7g20HHJXeL6+oGLDAeUzC/QiB9RNcTuTaLXkaV9mUaLGmkq5P7Yx+
C+FXFn+yHN1vazvMvmrLmeQK3mS4K1MYQYwdqKi3OpQ8w0VVowIDzWw8YTZyH9B18qgDIaesdWZ7
frYljbs9TE3VnHHWZBduqacjlQznE+OUFTLxu2HSbKopPxk2IAICt93s4FCQDQ+Y4cVVaXjsVJgf
x8bx9/2cG4/ozdozYaXZLVLw6CSgkusTqTr1fRywHrMV5DiyDie1Saek/WBHcjm/CpE/vd/G/7aR
/vJCnyvYFwlMh+7v//H9hTev/etPf9iWfYK9BajUfPeF5Pr+7//xbUu3/M3/3//5ty/v/8pvpvWY
KF3G1v96Uv/wWiT5365e34Yfhbzff+z7kN78QzpsOn3kt2CX7H/G6XjuH8IyUfDyCfTJzPhhTG/J
P9i3IbJdTLsEqy3RKt+VvP4fJskk/JSNMooNDUu//7wA38s9rt2/XFv++kXAibbEkBDewqsJHPY/
n1WMHP0BpXm7ZV2JDr0gzs5oXgqb+MEWoyTjuwsb4eRhWAhHP1yp/6LytJYd74/nJO+KXSJOfsmV
4Zv4y4KAgWs/5Indb4Fo5Meqjz6VSXnfWPWzDIp74ZTjNvRYyXVd8oLyS9/+9eu7iw3251+ApAmX
uCLuCbsSLvTPb34ymNwqbHrAqMkk4wFKDF4fQ/qbODf7wetXOk/FOenAqQ8QC859ZYGoRVCIL3+C
2hX3IJhW5FdOV6PjEz6rJwdOsp7QNqPab1osFEnbYcFLOn+DfWdEMuiC0zuA86IzrL1b8hCd7LIu
qFcb132Q8QIYiQT/oMchxDxDWdd2ZeXmZnC7yygpFqlT1q8r2B+73JU1yL68Iw6BZLcHy2zQ69SF
1LfEHoqz8DvjgfZo4QxXwbWSzPQ8druXVIDlPjGM+TFNGnvbeGQYWOmkQdq7w17MpnMKMthiDs3e
Udu2LTFbGHByl2zi7ICiQ5zhMLsdXKVkUMR8OZU8NaHR1HvgUeE+ShCgtQbZBCRIzv6LvyAlId/X
4k4GVlSvuyLAz9sjvuQJNh/I+OnOPebYg8qauLgtZDR+KcLZpFZY9um0EuXMuVzyo4FQqMAI0wMj
46vivpTdE4WZg4mLwUsg+pNf2icQr/UhgkINo8JP9mljvLg8MS/NwZ6osJAor/KhG2C0o4FMTkQe
TzT7xTRdDXWjuVlZhttpKvY5qdx74Ufg59PGr84lT7FjnE/FQY6xeohklbLRwvZKGw0AtvONrR64
3R0wjte8dE0gojU88MArpn1mBNfF3LDZQiCwy4CNXaKUAZjpOaQeKzitntH5B6sn3pcU98DZTP3A
cD9Rcb3G+0WPnqoQWJKRc/sRie2CobaPEUHWRCWC8kdmpjduP3RPbmT5T8zjzcsaWl47Rc7Jtxq5
6pbPeR8BeWsoYy7l3AYPo7tsl4qhR8ANjFqaU7dxiqB2VlGDmJc72D14QufBQljK7v2oC6zN6LgO
iPc5MJA8ZlVjEYLSJeol9QfJE80l9ohLbILWyrox4dtiKQcwi9aFu5JK2OOuSBJSNEtPfirtsKex
Z+K08ghO2c+lP9+DAvG+6Ei0957qAramnWDaHQ/GS5qI6Yw8wH4guYcxM6vwxruy4ywAozSNVbsJ
RydUO8swYJ4HzlLOgl6OVlPWRCQqZ5H6VM8TRdOYCrGo11vrxfe7ea9pLkg0tsgpCbSbfuqmll1D
wSO0iQbUjYlwQHs2x65MHHjm6qvuwSMW7aR2TKjlVyiz9VtCcXuYIye5bDJ26brts40V1gRqRo0c
r1zgnifTSWq+1JPVP9JgBJ/TUCLHq1y9MZA2Q1pSKl5HHcmAmdkgv0ysrrukHIu3pKVDvUWhCnlb
WVdmpQkB0SMVOcG+X4nqsraK+IG70hj9e2hx1msRaZd8WD3swzjkEk5+94jarNrnY2ee+ykqngmR
aT5UQGofcUbZx7hTGKDquQ9x5o/sFwfGOvuaiHuCBst8wlmOZrT9TLOFyTeWbUQGQZr79qOokkpR
7PbhM1T7fZjO8dcwlCRB27M5aNh+TqUPQgEtW/VJOm+JFt/5cDHnVeDoAt/E0ALHiMyGBHhnml3w
mkbAPhLG1iufNBCoaBNmDiQvgJVvJJzG6KIRl8awBdOdVxMrvJFyYKDsAcE79zVjYk3QJdZfwnAX
YJ7wj2HjWy+O4QQ3Q6tHvNVe+NRJ0YaLb0MZy8wDlUsYjnxtxsRgTOzOAEqZYakTcdfqA4lQvXcM
BZ4xeNaZvrWY33drS8Y8tqJkekWiXF/1bdyJC1ZEAdMAXM1AywQDHS5MOebGfTnI+ksTzuORIJp4
qzyiQbYm/hnWk+OMp81lMP/Mh18vzrtxishMzgK5z8IemwYIJbJtGjUySIVo1XfroW8YL9uqtj5O
OCIxnsUZE2msHjYL7qb/aJSqs7ce2tgngLHmMyMLEtobLT6zP2fNbOsAegDMN5Oo2Gs1ucFbJ3V1
ZTZTkO6l04Mmtlygoutch9V+jqYRW8vkJqeGpXq1JqhVPoTzBANL2XzpV5XdNwfQw/wCRaYzXBax
VuFKIdqFWJylhbHKuqyuOTNpq1axnpN8X5E02a/CyBlIXHelxjKRqdrYF/SLxkoszx1fghjk0QNz
Dy+gR3ryNNaP+NExebRpsOOWlWsFUXVn06ND3AdNCkGHAabZeD2JP+OyPY0lu5OiKsqbJuwGFuB8
HWqDNsfKZuemC2f0y6TQyOsUzfKVZeftOmpEecbrrThNdXwqgkbt42xI0E77borxCapDvgoInL/D
+265G2XqzljZozKXLzoRCgjCxTYyA/8thdXPwJR0Afbn6Li+tjPrTs28sWLPPcEuNUk5XwdVHz9D
CbQZOGAUMrJqL/EH3sTKCu50pqIPVu+kq0owkIZvjAuhjgXcTpJ917EXtGcgxvE1cR58bYVr2I95
1YyfIfVmfGeS1mNZEc3MMWLX1LAhpInh0WkvfR2fyf3a5u3IA5mB2942q5oKQsSw9VN1NeqaH47t
JrsSlWHdAM6TV/aEUHelPCO5m/reXM02SLA4nLe6KAoUcfndYGAoMipiYqnJdokZweKU8rM9Gg52
mvY6mwkHKkA84GeqeT1+cGHBFyxKKpIOdOaKdQEFa2fXUpFklJb+jYqrIF25nSULZFu2gBjm1tWp
ynz/maecchGfZjN1EIXQVwJf9dXc1VN+ZLqo71zgmNgIJGqwlYLkFx1FDBd/JWCbriAxtV+GGfDa
3vaT/jMykXbeYcsgbWhs6/rgjYJhMJNLsWr8PIH0DRHR4WjFk7YKSHBSR0bS8D9UhM6XmKWhvCcM
tjl1cw+Qccxtgpi8yOF5WA/J8NQ7nXhSDeBsL/I1dBFKFRC+7uCQYYMYiOiNxiQ7us68W8Y+6oOF
YIGF1ZhkF5Ev8XL2gupr23Zm9dhERcd6D5QoCE38ADdNV+srcsjHQ1t69kNqhMHBFCK9lpHrP09d
1sKftAayH8gdn2oAlwk8pQwKKTePA7xeRwGBtavGydovQSaw0IyMOJklYmG/d5D1MYzqJsG+H46z
czCniu7UCOJuO+McO8dpUX/t2VJwxKdAo5b7grg1hHlKyItrc4glo3K6c9uoXF2Xhc1AnDkelsIc
ETsxu5Exh9eROTHqTyOLu17PmguUZgERwxkFsbNz5ljcj4QPGRdD6EXmNh2FGC8Ctxn9nWVlFB1V
HlwMo5f7lD3mRAXsgsGwWEnAZk0BFQR0ZQ+1VuLJi033iS91Ol5gb5In+HDTWXPoZBzpmfc4I08s
TxMY34Z4B9UQDTcFjgS1GLSUrPVUnzRC4VcfNt20CQ30PJidKKO2Cl4w9BA6h3HXm+7Qgk/k63oR
Y196yvMx/dDC9E/OOu5d/+hgOT/mVYuOpm2ML6aVhhdZaC0WM54qxxkXDNkpfpw+S2VDg0kyo3/i
bmNztnRKWEyB3NbhMD+EXS7YYUUthU7Yn4F45qhLwgojJ299O/NLDOvJtaerenRyoIJxFGIbozwa
8OE0zkNvCowZv+kHf5Y4ohGjHXRNE6Gpw2zGNH+ZyRBKJgpWR8tqhDxVQ9flmTefn/6663vvaH/t
OgEj0fGZvA6Ii5+bPoato1DaJjM86unJxgGHiYcQyT/Y8UJTzEY4Nozoyvit5PEA4B9YPLqbMQcn
P83OcTbK4ezWRX+XIQy9XFpYEtJNcYUsZH4WgkKdzOYIbwbPpf4GUW0V7t7fxH/bqOXHScvf91+q
q9fiS/c+cPnHAObbyOUff/yfMY9BphtA1vvX85iL16IY/vZ/Xov6//7t9MruNWl/HMx8//lvgxnG
L2T6SqaAchk+MAH4h3oSfhZtt83Q3eU/7hJC+Z/6SSBZjCvQVEqP6d27+/r7YEaKPxj2CYRAqOpN
17X/LYu1vQyafphOkIViezaK8l+noYxFImsYOpJPeJavDKDr1gpxAb35kIwQWTJAzgGIHiLkDBWz
runsbGsaTXOaCVI84vdhYhh7zhVqhHhjzpO3ydFpHHJZFVsWHlGxro3IqnaDQ/waoFfirULZrZqq
n48F5LJV3sXz0xTk3d7rY3PbNWZ8qIq2ubYGkT1FnKuA7qt4X1igtlkaZqcgCoJjqTECyaQstkUZ
txdFAg9EMOB+xcbtnjxcXskmhIgzbrpKOhs/tUmZB5izG+cxX8FZgCiqIpneV03ZS8opyz/rAcjT
Oq6m/gs9bgc8HsbEQ18a1V0/o207NTz3II764lwj2tmFfhXu59h+gxiJeZtHGFvJElY2wCO6mFBA
DK9iN8SImxFfxCL/1KRjvZm6Un80MqxhlGfyYIWZc5F58fwwZEjhTl3UhXId5HFXUZ6jNKEILpzL
Elsyoswl6h1/zslJvfqTnYFc6Lva2PgYw9dp38hN0Jntlyotsye6y/qJ4chwMO1aPENpmTxEsXF5
kRSS7jMPBmRbfdJ+HjDaXUiWLGIfMzpGtBF3zlEZI1pVhKfGg2EU3nRJSEDIzw158HW20Ljkkwac
neRGe3IheL8adZI5K5rtYG0Ufb8FVWNuSIngX0nqmLNvkG2/7drJgLIsBaGOrrXRuUsmyPI30e/O
GRlog6BKGoqvjeIubAS6ow+I5xFV+AFPgkeWEBydxQjcG7A2Yof/R9157MiubEn2V/oH+EAtpqFV
anUyJ0Sq41RO0t2pv75WVD2gXvWggJoUuicXuDj35M2MjHD63ma2DEKTRN/2y1jcXWGex0Sq7D5w
pYt1TF9h5i2hHl42TItr1WfzfUpIf2Uo9dv6fEn3XvMtftKRChctsDqbfLOiPwqv07SlKY7WmCWq
XOiFkuIcKlQYcpz079yGfE/sloJqOzhZYq0d3ioZXkTlPkahST8Tu6conBU9/6C+hVtpHlBlkcxc
RREar2pvZzZ21OgHSsoqTVVC6+Q7GriKtesu+WPuV1SSqZaMTNq0mIBzMCNB42AUqLTuYO2Oi/FQ
+aq+PxRwiX/SwJo/F5qKXjz+t8GGq7L3107GmI+0CAiGE/phjRh5MYAvNoU0StAY0Q0grOrY2yCg
tSSHKxdoP9OWf0gCSTbVtaLYv6efr803/qAxXs3FdexSxBiA5Mc6eKIHqwRe0lpcvLlV1u4W7EeM
FRILz+84qwYBPYft20l0H/YbNTcTy06Dk0OWzIAfTigYmaZvOH7+kTa/4NuHxH0gA9c9sk5qL1Mv
ys3iKP+eFyWhDi9up9cJxtonK9f8KENdHts57fba7akkqULCpRH9EU9YYRj8vAXw9FqOyB28mECy
nAKW7iZAIkDCCtlsbUfUqSvaXDzh+Oo37tAmv9ptnJK9GIQ6As3ZF7jv8UukxbALGaVv6Uob79HH
rFM3B/KeaHjQXbteuN0Af/Y/LD17rHcjT9YrudjNhYiwvRmhz33wReShyGyqHIiyr0c/oU/m2nAG
8eiyUBeyjnsdbPMhri7d7AUfsS+iAi8zcH/KGxS1gSlWxzbi7AG1Xw7Mkaji68ENgqOMveYEZrit
NlhW+K11kZteuCNMhznM422mpU2lfBunl4BGETZ9FjS5lcKU0255dezPoPWTl/C62bCNSfADVA/4
U8a1mDDXDX5c7wIrnoktBn37HAZDcpYtHXPC9/Pvxs38E/I+gOuht/eez/AzFF6+DQCTYwFuyoOb
M4BVQcb2RgHj4aOutzRdeBD+ymijOt86hWLy39kMED/NM1/vg5F1NRbI/JYG7uVGEiC6SwzKeEZh
ycZutHkMOOfvlRjSTU2AZVoPfclKbsz8e+p1ymfHWNmvE9VJBn+epsYeHeXMGrY4IFjQBVcH477m
zn9qkyw4+FyZG0xjZlKblq3cjQgkRivHG5cvYeFbBs6UP0oaAI7Axh+wAyd0OBd8ZleUSrvvPLcT
8Ip0J7LInMOHxSYEQMCe6L1KQOTFnZnrO3aR02sxNdlfLvnisS9w47rtBADCssfkS4yksy2jfRx4
GPJHxtO3PqddabKXGIF0lgff75aIljHH2tXEI0hLDmP0ICcvouJtYf3sLeNl0JYPriOLXAZdJz0R
9WvQvcV4TND+d1RUesfOGthaBk7X7SK8L49BBCojB6viEBrN9K8deDlVRNGwfFpcea9K+ILHwC6b
gMapabpk0KzWYk6tFasF/7LEcnh3jSh2XMF7rO4S5TmRzfWMjzMqxlLS3QBX6pNilLpdAHsiQiTK
/fUoSbjFyzFtSwPRa23HWEVUH5tvDMKEsJcae/WorNMC9upXxhzJjWOGJy14DK0oyyn3HgPtCdx2
+cmAynxdX93Z6Ks2VQGVzncYFby10KFHP7Lv8zRoo/4cjY5DAxSu2MSy+33rFfl+9htOOou/c8wR
aC9U5Ez3RZyFe9ovi5MJY8Wr2amXdKz1mvIKdy3qOT2UU2Mex0ADc4vT6NkUybXIb/TY+9P5SuFA
fo6t8Dajz/JoBouGqgWnHhvpMMJg4oqv/91r/P+DiqmTEBz6727oN58/2fz5f+7158+vyf7L5fw/
/uo/VVP3H3EQE1VCILXhAMVod/+MNvlXMhLKqB/Hbuy4XJv/k23L2xGeZOL7oJmj62j3z7u5S1KK
u3mC1hoRbKCD538imqINXqfEf50iCUKGAKVdl/oA38Y58l+nyJyVNPbwxeymqs8oi9Qi2ztGZ3dA
VOzXLOict5g8fYWKGlUXALijc4rrtjtiry2eat/N77Sij5vt7ez/BHlJsrXukhYvKJ4wMhh9n73S
xJvOTABN/DqkBUNp67qbyWI/Z+zqUfne9BJRprTusn64w1v0uhTc41ZtPeISbeWzWOoaUD3rS00T
/MHlHnEKwbYctZD9vaQ4l3hMFGBWB3Ao27XKrIXl0UxFIBkGe0130XKObWcE9dbH80PSp8O8KvKw
ak6uVo+w2+XyOCRc549htsinlkNh2NDtNjxREy+T0+KPDnt9u/KpFfXdbDi6ooIt4cES/6EStqe3
il5TMP5UAXWXfqqT5ISMF0VbOipc/QBku/3xNYWze0GF2UBNgkh+GhTXr+VqITu4dL/KLU/zkn3S
aLFPTPAZbywIDvIuAPk3nhYrGP4CcOiaW0Rb9VG5vfPchO61ISGNHyhgDqiILeh78zyeM1bW2nta
ssIv7iF427wQz8JKpVoB872uSFcZJvNNOOhm5xTCz9ep46OOJ7P97Jsmf+8rX/wgSEIRsE10KyNw
EVsTK4TubBTkBmQ7niPH7fa1ICSzKgONyjgo31l3rFsYvxTl4ipvl0NwlV6E04mLV1my/EAMCx9J
/lvUe9m1fbJ0TKzZqtx1t7CXW7VsrDHreyz12577dyWwZvUePYiBX1L6i6oRnSxqGy54K797ybsF
C1mJdikbnga5KJ5i04mVma+uxoqfu4/TEGzH4iBG+VPzaTfXnEveo3RVMn7DVcib3LFN6X1kbYSB
vK2GddRPX57TMLOIwToQ7cIEBxhrbxPJzjYddMRz2MnH61mObKmzCw/j4AG7Q/KudZXfCDqC6SOc
l2wPXzP+JgkT0jdlW9WfQU89I50bTN0qJNfE8sZ3JTQpaFZUbhUViQvMiEV7MjVkqCheIIrMXFku
Y0pTE6brx7gglJ03jq/2fkFJd+slRM384V37EQTGlk39mtt5QKpnMGW8Y6SMvQOl18snXTZ99kZc
MMspPCbxTcku+CvQzhadzDbjMqvvfgEr0kibBLNDu4hYMfJmfwx+c2xWjuiaXeNFA5oE4B66V0pW
hjxNiRAiVYQuKUcLzd+AfY1WbajDdw8qJYzqWEQWeprs/Tff85V1i1qR6V0eEK/ZMcpQowbdyZ3X
ZTh6wW6cp9nG8sMvmv1+TXhs5bminm59Kt56Mk7xSEsOdUbyCfnBrx+zeARQMkepM76xuEeCsqOq
nHbwzeJmjQBtg7WfE+jLrEWbQ5fl3TNkl+CIt0WoJ2iac7zNrS4pfkcqYi4Dtio+2EELwBu8bfWq
+UZdiJtF+VuNpAC3XooFYtWWivu3CKKreobCj4ocWyyDa3ByNMMvFRSvQq1l6I1iy/6gNEfemcz1
LRsFDHTaf9BDXt/WdRD8hNZUuwd2Pkl+6hExvqhU0JTcZ6XapADLhhU7u5xDYnJfyDg4LyQoF2gd
JR1zDFriENitQkqMW7z9QU6mZXGSgPaFgCbUVZmxioWM3GHlxmupmjU/otw4OehP/pAFy6qayhof
a63H94Hx7WYog/qtiVB6VmMwzrf96JYnACwoPogHE+qnK0A8E9Y7hE433lBjl9wzJrKRjYss2RVW
OD0EE6w5Hx/uIyNhxmCC3IMDuUbKTpWbAAmuJucI0jE/d914XZJo9ezUrveGrQ8VXCOuLnUSHimw
FggBPCLldrJs+2sS1Dmz5ZyKKxlHkDnh9ra35z65wKRDhobxx/q/kew5/Lq9s7qm/7S5WH4QqvJf
TXZNYPYD10k9pI88LfN4r5zIPDfYSb5Ul/s/pDTH51HLcYci8pRwLE2rEWHWbLOheSqwYxQrs2Tt
SamSkzd2InFwJFsTEGRcTuu6YDntd+TjKCFAbojBUtAUU4XvgrCq2vSmNmeIdfHfZACRU+f0ethp
Yh+KrpMfuOjILzSB7Y7oHL23paU13kBSbg5SDg35JoSswCgae1mAOcVuxuXK4Sqc37bJrQvd6V62
RuR22suMsabdGL2gq1TjVQ2eYM+QW8SB0fr9QPUDHZTApWKqIWcotQjMlo+HfPZuClUmd7VmC8Xq
KP7m0awvSyIMYPqA0Ri4CX3QUymQFyRjgGKwewy8ST8Sb+HfOxY4d3wv3YccE/u1dEw4rtD7l0f3
WmWUs1bqNmkIyjAqfnFeVC/hNZ4wpjLvbvnt1e/2Yi+bKegoVNNdgOPELwgmtD/4jJb7LFniW24u
E3NSLf/MDkKnSqxr/qeBpU4PpAZH2wx83qLJ2zh2Hj7YFO/RY90n84MDcbt9qk1lnVy/0R+uU/MG
E35P/UraKET9EY40oODQdF+IMP4HxMXhYaowZx5ZfpV/Gvw84g6tEJyaXfj1VzOa7jv1KuiLBgnJ
OhnUWAhc2L4LHOxD9AQxCgnXC6ro1BITzFYp2XKmyIwheM1X4zCzrSga6CbPa1qIFX+Ibh48+IVL
K/FoOJn55TosLEzdbbsOczlNjYHctFzM1KoNJiaNZez+Bk3SUCs58O+2l/V/g7EbjtXIAgS5MjoF
Vt4+lE1DMaQBu5GR8RmKl6pW9T5T0pxzwjF7O0zDU6IjvpCjc0DoTgVmJQnpQ1lTBwaqPyJNg6SY
8Yf0CHXJQRfSFLt29pZPldQFNq3Jmz/z2Uq/OzORjzBmgH0pYv+Ka5/IDdw7VqDP/OIVxlT+OtWC
EjzvSka4aBXtAY9cTLMNeWAXWGQeU5fX9NXCm9VKxd5NiuYjKXvJ582jCniyFjqFUgQRtkeqfa+b
q3Mon3X9iToenH36Pj89VtUYr3SvueBZ6VngAwpWrROUEGzgeDHeLfO6QLh+62Khvlm40CbtNeyn
8ywYrFXSN+Fj1szTRZu2fm6Snu9N6waYdQwabD22uTnWahHe1iWZdc+pP2+0jkCwcdnBIkdDmnhJ
qWfg3Bk5Jo0LrpkqGOL2mirxkiQgrL21N83qI84LHjUxoK07sFuBv2n7qf/sugbuYlbAg5aqLO88
ekv9VTRKB4F8RqpiFcaqlVRk768NqNIXsXTJM2vKMl4zCSy3+ZzZ2ILgcWymaPKRnIMheyqnHsHV
p/6SHboX/3TcLTuiafac7gxPZtqO5uCUQflFZpZdTNX91Y/A3pk+V8FrdrDzZNgHHTZDdgA6emDV
ZZF4IsP4FPLUIVQk+tds6fInb3ZRwXGWlKssUOahcrtg2OEQDwxXEkBe3OyHEGrYIMInYtM5lgYq
EFGUS2hfnqL2Vkzeo2o5qA+hRxXDinVQuA2GwPrhxMNYU5lw585x8UvhX4s9LAtekgmGMC4FK3y0
KX79aJYCxGCSQW0IlUsL5Th3yQlGf/ResqO4l7a2vppYFk/2nGkagE0nz/UwR38h4ebthRBwQxOl
CeQPG6rudRmn+UD52XCOWuijGx8xtgDRPBQ1tD49z5uc9iSKWJUMD7MqrJdQIJluK9Oavd1RcC8z
jaFyzkFYqqAFyDbTB0VIAKKJDas/W/sV6MMlphS2yQrqHqIZ19AGZYlkq9O0eD5JMG0skWtcVSI/
A2Wzj47s/0w2OdgULMNmyRFGc4IHH2ljX4epsD1NmRcfc91y8vjCfyAj12GKclnm5POIZMvhBZog
e6XCKya94bKR7ICNuSb521Aba0JPHyeRiq2Ku2rnAy/cg1knC57P6S+gcXOHyYHzD/cdwd+J6dDq
kDZkl+1Hrgj+xqWQ6VaA/LufiFUcVdHSc412eXDMWJ6ViPrvsezaB0h9abyGhD9wd4maZ+waYhfG
I5nYKhEfXGfMukmyx7zmaMYvyW16iTDwqJIOwKFJz21AYJo2hSuvrjeX3hU8qS1KQsZ8/GZ66I5O
E7M740mMYl6P3U+panvcFmMVUwqRxR+FcoE51SrsTiNvEECksz5r5XZcFkt4daYcPpdY/Sytxd2q
8tPr45RprM3omA/hR5BtdBd2P0LsSC0w1eazZ98keVBT88JOSWGFw0QwuDsA6uFDJ20qRRQZ0XOo
yu5iI4Qg67aq2MSBtinDDchRwxGF2Z0+87Z/CH1xHqaeTtORXXeEghAH1cJ2lwIlA2Z9xa+Tys5S
FAxuS5HdZBaG/HUx99Vr403Zmy1gOzJ9hj0PWPUS4u75zFuKywk44qaww664mRdMcqE7+scmxS6+
x4Tpc7xhy30nagInxOCNwbW1T82VqeqBYqh7ZAebcCZ7ak32hcTbH7Zzw1e7mBsJLuNsqkJuFAbr
hSPGE19uktpsMCeySrSR7qDOxzdc9EgMkJC6JYHeP8mM/7cXq2AjGJV3qhLkQ3xtscJepHvbhNH4
TNJz2MymRKfrK6t7V2kcnDrHHbY1INIVy3HzFddYXKskms4B/tgn7FwQS+PO3o3wYih2C/0dcI7w
LYa1WpLaFQLkrB4gk3Ibua94N6otIEryq03vyK3CZIxdpOxrkhZuRMnv6NAyEjK1MQ1bXvvR0ZlM
nSStf3+jKu2i50hMbJwdOJ9MJh3hw46nyY92rREvciUp+1vy+mMSZK5WvedWKfoS5ez3kujQa5oP
DdfvUt5ji3Q/rg1jdxQYOD+muNI6IahIvCf8Ho49080uhGxgr6Jlyl9LNY0B3mQghE9ta+qa4nMV
b1sRdi2JUbX8GbI2OEZsgI7QRUm4FpNX30MYdsPDdUHyKQLL2YLkiDDzDRM0aM/veIZ1dWc9OQbT
XzcOPtGtnpBHFXWfLj5MuAmOPLhB/qGLJjt7FN7g3boqNPbInoW5rqJsOm2CZxXN3QHB03NvxIQv
co2htNBb18Ca2XfE6K2dh4pD3G6UdfxKst+19y1PTczDaXW9MorLOLY7gicFL0SX0D+MjrzgEcHO
/hdIMIySxU/f7ElGGMRmL+35z6LiT17n+sQGp8byWShKh1irVycrgjf8PKbd8lR3zhBe5ERC5Nxk
UzltSGGy8R6tcQ2Lkg+5B2NFKrrWFeMbOoZN4fq85Pa4hlJOK1Nj9AeEy6XZjSPsg1KYcc1oZj0j
rMQXK1zMmiukh5reDB985HJ9y5Ef+mfVy+IOgrn/XRV9/MZmBvWd5xE36TbY1zS93wZJq759LbDR
Yzv1LpPqnZ2TZNVPQaNxelBxkbMZz3SpWYh7IHAwJEPTdaiJyRHiXJgcYUvIewP1brwpSrCTjIU9
DqW8UgY1dWpprOdcJ+LWomPRwGMa9GcEfNxfCK583E2Rzdc+cIlObZjEih1+s5h2qmiwN7oMumjt
67b/4xGM5apsGgjbuamqZwhLNL+lbCzv4N5SrZJLsunrTPLGXPGcLsOTCqT/KSwovrrPBOFA7Kbc
cHhE0QaEz9nP5HQakzb8opSifQulE/9ZwrqeENgy676JaX5ZG5861fXomRlfL0b2HdlATYMPgX4c
g2W1TufeMN7RqAxzEx8oUiyhxQ9fze0eml94W6V17DN0oSLsuqiPNkFO51DI/gNjrovfICTWS7SC
O8+fwiDF7B3credChd69pAjvUMmuWfEO9ipc0JU6YHCAXJNpZg9Mh4LGcUeH9QV0iHBXRkk+JNJD
Z90OsoHUkboS3WU1dqlsjzR4pCTIpVPsS1LJJOqqdHoHZBMt/CSxee3nCOsW5ChsYxRh48Vzy45k
XpTMLNCGkltyX2XOc0wLyLD1uzjknlAK7xyaAa+mCIbi06Wpgb1FTiZlNwvHthDT/U6fkqhf3gBU
MXTx9gzjTUkOPKDp057Enxypei9rNzyxEIlyKPpevWdbW/3USroQm2fccRWEdLKBJtLhXd6L7hWw
dfGmRhssQj+ncDZG9BtI0LTTour5vYNvlrcK6inpQKptYwUDdRDJM2YbpvnJ5fiZQ6f4Sufxajl2
XeVeOCeI6xI3bXmDloF0jvGkdE27ezJ451EO/bLJiyn61kGvXwhvwoko6TqTq9JlpbfKu2heiyxk
98gsQMV82WsczlCCPfFJv1l0nlzNrjRPiviWHBuyXcT5yYFdCERSyfkPSByh0N4ENdrbuqoBHKzC
rFc2HPOhvS1kNZHVmcvpPUyLdLNEqn/nk6Tdi7YRlkQrTH9pbZdardGKvGRjeUb8APsuMkAUfcFl
L60tteaxxLky1VMlX8ha+qclaRYkN7zX4XrkMUn3cpiMeyrM263lmqBZDa09X+YaKPd1irTEutXX
LpWlaqpi66LhP7gqLdt9zM1IMzIlZoP/M8OjlvvpzTjhAVrrDgI/DHZ7XI2lZP1V2kmHhZ6zc1jR
yrND4Lb7yzwGtVpb19JHKgRa9mi5tlkmgZq/kvazJL41S8ftvuLJxggWYpZPiwJxPPYqaoQbKNRX
R6FgWTQ3fMPCmkx6A+s7gIctnb9DacWPOqbfBeNEGK58CyjqxgbZDjojq8DGWlWr663h2BQgupX1
IBg14lew5/NWQNdhgMEVw8PFGXA4A0ODxA/c/gOrAeI60Y4c10Hso2PXgdpkY5Q/llU8H4jY0cx7
dcy8tnmPq3IexGtBw5tZ0TJf0EFW/WktL902OXC4Y8FDZJv2LuK/ouePqEVafyLoWD9N3s7PBVYb
a4OzCIwv1T/dfL42LoBkiCtJz2wyxdAmrrtsclDfXOb0l13E8mWBgJ+vMSuZLcNaBqgNsWmNG5+f
CPHfW3nkgjlUK//XsdS4Y2vh7SYWCmdWOj6abNDfG3t2e2ApjYeKG43LweON+9gpGCbpQhdyVuAa
oJRbuE9aGc7sDvfxcwlzbjpnqm93lFPFYreM0ZCtpWXYRDmtCZdd6mNiPsS8fQs+RoN3bY3NxuKW
ZUM575bFGZZLC/8xPIAJ95BnMhLKGEVd5wgj6ylTPkXNkzN/0i2/9Sy/2bQ2YfVYLdX4jSBDxTlS
8B/uZFPAs63IwqeS0QRXdxmjHWuQxxqD3DN3UQHrL8kia20jRRFXL5V6g2Da/E1cbs4oL+wB1rGx
5a9riiudzysqKp8mlv2qzyFiu+RsCen6FTdKHcr9/670+v+rg9L1mRz+O3327ic32ee/6rL//Cv/
1GUj+JFor34c2lcZ1cel+x+6bOz8w8cz4F/NuwzrADv+U5h1oVH+B1IUWK3975zKfwqzTvQPNFxK
xKB9XduRg+R/IsxG4f8d6QxjoqQU3zCfcPUL/7235l/4pfkQqpjavGXXknGgD1oGBJYQRe2bLCI6
hZcm2fWtk5LqCAhwugCgLk5YV7sUEtG5LCBRp5Mt083g5Um7SlvRr1yXO8gqTvHD7N2aYMTk5Bnu
Ds69rWBt6KyhHQCDTmb1Z8mDagPasDrmXpUdJFyFQy+HbjuY/rqmEPVdju+zowWgGxJyDz5XB8kz
EEfc7HPrc32t66MbV/45n/I0WfWtbzjGPOtmhNGgkCoIUK9kMlm/RFbo9OIcTb7wmqN72SPDHNiv
U9NDuL8GbppLDIPzzaAvEQOwMzYGJSF12vRyPWDk86A2sEwpXgndvY+Lnd/kOn9ONQamQMjhyBGv
P8OQoIvvquwx1V34FILauLHzwt1P1N5s6XdmVzTX2RH+zTXoYuNa0dVONPWyTXjpgOAXGY8kna4Q
6cZHDUR8XSbxTdxM1dkVHeAwU/7QfBAA9GjyR2bJ4lg7BHODaJg/pqUJL1nA/hp3jFXzRIODTkdJ
7Hmn8lpMsza2x6bZ9C1ZxYYy0LNFvrFlpKN/BJSW47DNnUae4DKL4hdHLPZ9CEXjMRmqKjkyp4KQ
sLlI3JVsCVlkStd8NlE2quOIpHAOBT6fld1A/GN3xewHSWa4NlHg9zyPrVMxTRJB47kf+SB0MKAl
92YQeNvCDt/7riZFcyJ8U6zTtsJcbqcxPYPAnHD5hD5XYWBRBbsa497mg1V8WAMg/9SM9b5m1Lz+
SANyv0jil5bOoG3QxdMFTMcAPQrm9EonAzc3f4rxubkj2nvssMqC/Oa5b30whq9N6+hx3Y7aeaAi
KryjGniQm0CnzQF3QHWQBGRajLwswjobl4sK8uLB5JnHMyATikfyPDPx8SMNu75yaEfErsO2IQzz
RyjB8QFGqn0IuZruuNFJLvglQWfVRs0NQku3E8MTMTniVeOAiyl7bUb4d8Rxhtu+4zV20CzeuVX1
90GjB/ZlBCliXd91k3PrzbOzKftpeShVdV37WLxkmEbXGonoJgHsg3SOwY9PNYUsAFt0TjdlbeH4
bWmIX7Z9AiRwDYYQdRT31i+Ep3fGAn1h/KxvACtOR9Gi/kMLjxQxd+lf2EU319Y8osk8ctO7wuBo
Q+VJ6zMEPY31cnRy7Hl2Hj3UeWVenVJnHdudKrohF6v/kH6pUQV1y5WI2orwHLRpP8FQ5ZbPKht+
PiY8L54/fOBl3hPWgHFjgrr5qZKxYcXukARvLzHv/YQ5kseh82aJbJpoS73e/QsxgNdsPKCu316Y
psmFQGoJ62vm4U99JyXwYx/F8pRbfPm17QzzS4aNg96JTr457uTLU9bkap/Tolqsly7omdF6jukV
R7RdbqOgr95Ifo/7PuE+u+awh7dEhZ0DAJCYg13ThREEqCxuyIYirib7J4qKaG9wcd5gzyxZw1np
bqA059oPvHh3DdGJr9qkND/qiUI/3QWHiU8RJ2wr2AV07fOYu6wiKhv46rSmXaX5EUPXPCx+mP4W
lqEvhVnoR48TOybX5gs7JFDFFiudP+0nAZD/OaetMF77EaATTDG4DR9nSC/DNjJmCneR4j89CiSf
TccNZdzmBYguOnwm6EmyBwF4U8uodY+SiYlKU8Bm/copxfKMSHl1i1DPwJ3ED/1sY2KfyzKMAkGb
rUnKmwnxiceL8HYtfbLwa+D1sN24ZiQZD7gLAZ13KnFXGVlddEzsz/KnibITn2WCx4NnBaC1PfUh
dFX6LsNxP0+TJKivxxd0aMEeOsHzhmG9/eg1P86agDqTjxmnlr6hnoYvEHzxslORxJMpqzYqDqWo
R7lOczl/274qZobROfnKlIU20hb5WK/aCJchHhy7TvYMtBjAbTnPqCh54FNLnxHXM1Fk3K2siig7
w53K8k3Y94I9Jwd8DgLX1sx32diA70UHBajnjzeV34wHXFN8Cowlzw0OUWZwnFsM5aweC1QnZoys
e4ymvqPCRtufqlse/SGKPRSntH+yp5IJgFUE3oCu0BHu8nqIzMol/vepxWyT9aIH8033QZ+sffJ1
4sDUPWTbXoULoWHs6wtndtGt7XmcfwXd5y8BCvsTfCri2A3x2ifAHMlZ8RleTZbrPzpG+W/U4Ega
MWr/ZAKIbEGhr00n882SVHAU+jBjUgpKtNvl5HZ8YNn/VssPlaeEB3vPn2e+RUMVa55JwxTPr1Ks
kCfIDBpNTmvvVz6U1EbPPSH+WM4PnqB2Nci84frV7fhcOjIU+xwt6KWYCs47Uiod6niTdHqLatXd
wZxmVWkNbvLWVok8OIiDDQtJW1E7bTlDCtYxTadNmHFfW+GQh5RtSsMvmoRjIe/MNDAaxYOp2NuW
9p0urG7GFQD6dK2HueYOkaDwYP/o35Ws5V3vLrSWi3TBnikC82QWnzxb7NHMFvQmyqHTsfS3ARL6
TD6uAkNW+fKOn1qd0syyzSFsbXwJZdabX1NlNtsfMYp4leLliw7N3OE20T19u0BWVc74ZGcc2OHi
WGzrOjneRJPd0oFWd8jeoLTaH0oYqBSN6oHim4zy6bU/qu8Ya/oBekP03dNSjoNiSmOavV0roB87
kMuWXoGCm0Nhi/cghZQY2MXwZuVUKK2ouiluBqd5iUcVuJiwcuFsIzxJZ6mBMRRyKHpkofoHJHvK
oyzVf5aaxgmtSn7nQx/2t1NJETVZHUl2uWF1KfuCHUYVIrHt6rJX90WOcW1FRRXkp8orMha/ii1E
3pe6Z3lCt/NOBO74Z87A8wCmwF62tfCYny0/Fi899v5feDgeH+mBUs9t019DtPlyraYiw682S6db
xanMTnmlDMNc5HghnQZuQWly36evAzuZlfIyvdfh1fnEcp1YCKjRZc72XEhhDZSkcHSBvkYhU0sa
eAnJrE70C4HhbVYshH3c5xFHICgS8zbmSUkkE+Qdz33Ok5J35TWFmh46UbWXZhDjM9oAoE92aRuC
WNN7oq4QcaNt9SVwj+GwyTLve5LNGofWNi2b5T1Lw98hTzWLFFscTOoOtGOBABPoLHHw75IxSlgq
2USVebbsZ/KeM9kmbf8hoz3Zb5lqLAk8Bc6WB+KJfgzDght+J7tA0bV0yY3ozIqDti6/gIVPDJwc
EJvRb9jIhXFmISE3SXvQPC7W4CKW45RX7WOT5ONr2mHkCsbKHfem4JZpZfUZeldmrVTHbvZgGRnj
7qlrfB21m4zPqF/oVoEKyW1HpfyKHC4Jbg51ciNZp/xq38KrB+Sfrz3F+oETyHapdvJaXAdlY+7t
dkwuvk1L4YZ8VnJPeZx+Aq2DpxrCCgIJyAP1EeYRfdKmLWpnwwVtfo9ZJ3/3IuLTEXWILGc+eFwM
8zprPpOwN88EwLxL73vuvZwc8xJ7MSsrr+3xMREHnnnOIlCvwR8ke9TG6cC759/YO4/muLG0S/+V
jtlDAdwLu5jFZCIdvTfaIEhRgve4cL9+HqT6qyJZatX0LL6YiehNR3UVpTQELl5zznOGCKeNrt7M
bvLifTnH3qktnTzkqHWY/SUM6ZiAg6hAB9oCb4Y5FO2zLDdBI7ZO+AQ8xUbtPRAHRIznsskoZdet
KdmMF89t1YlhD+H5IPIyW00QOVZu3zGIzvJZNBQHMmDCMjHxmb2pPWN8ydqxRm2mrWYR6N4uKsz8
O4dE8pIMg3OeuXoCCnisiw3fGbvZ3iV8u0cEgYGEBCOigoLyobWT/pSb1SRrd9BgeUsggxJpostM
mHW6GjacquSIO7j2fARkgYmIZ9EFhfMU3idh5r2FXrVgf2DFvI7KSs6aCvAQkGUIMhgMGuMVgCo2
Mz1CQaGlAlkHfeOApGpTivG0CXBZ1XMK9EVG2aVM5uKqdOxErHtAtGuvJZh3VZW4GhryjywOyRcv
0wn6dJX1NUZi8TpmdY4yz53C8wmxyGslysKfxyy8ZXKdPgmil28Rf9H/OTxDLvqqCoYdOp2WjYQj
unTNjaULbMjEb2E/a04Ft8VmzIcOHSBUHpeioChuEaPguor43NfQ1ZA54sHvfYUW+3QKiyxfq7HL
kIVJcKIzxYXf2Nkc4WtuozdgRRSLiCk3teXkuyWFLNxaeAVPQ1ZIV7YRRIeMX8Ad4onslvOiPgsl
H4PKyEgpXYDjdAMP3InB350YcKPwCw1ov56dhNN29Mzwti7n+3fjj6ufmu73gUx/UXrj8cTx6UCS
1D3HXsYa75NXmIrWOabyeZc2RnKNuauDM7N45ArDOYnnzNkZi8/y9y+6xLl8kJcvfH0JNIzAXkdA
q/v4ohDhyjlwUgiUUZidUWV0V0iFS1/qSYQrHQ84LZkNCW6ov//+lRfh+udXZmyCRhj3qeeZn4KZ
KssanCzHfVq70BXgUpo9AXC2Bg5PpjO5YEHxdnzF/5iZ/wYuxyAMuPDiLPjXfuY79oCq+TCO+/OP
/ZzIeeKLlAvU5+c8Dr3+f03kPOOLAdZNYGDmv3M3/mljJg7asmDbcW27jPJgwP1plRBf8DXjrrAk
gCYqpn/LKmF+nsi5ui1t8szoEW3knwDfPl7KVZEi5zANtTcDcwIOTdmhDe4+7zmuDG98cm0vXPU0
z2urTXGylt33UYjHBHAHSZwkttQ0u1Y9vHUTm4O0y0llGG3G55qBeL2ri1tUo+2p04esi3C/+XOP
DWquk2sbkos/MFrbYwZ0V2FYXThVyr4PtRaEXOuJB3y9tdV0U5r6d6xyV8a05N1S4a4LLzFXc6q9
gUu8YFwgCHYFjBeVyE4sux/3HfcfjYAMeNWw/8qCda8xbWuyhFFeN+QO3NjwKgSv4cfsHDY6au+V
IZPirMJbftol5ozVAFshGhZnpA8zoeazxnsIvPBOj9OXIWqeUr3LslXfTfM5oyV2I+MY+ChwWWWq
Sa0SYaqbfGIv2aTmWWUb40GkltrOwVT6IfpNnilG3Hkrh+EIbAfLUD8M5ZFmGBIJ0Ujnml4WrXsV
bSK2z7sJ3RWK37o4dxIcXsvi51XWoba3TWSOUSsqjvNarGFKOQeOQ4LWMBi8dvb0tRm9aC3zmYXu
gJZReCS1VIWsXhVg5/PAZijoDRX2ADIjsBdb5vlMzcvpX35PaMp2mlc7uFQA9ww4wAHZGqTZLInA
qYPQMY1QhRN83ZzU+Shu3HZ+4/nFGiYd68shU+mTLKcn08WUO6QTk0APTX4Oywc0jaLop1qdWSrC
diCItCAL1ClJe+iyFBcHPz532RRtBwOJFkazEx68XAAUbXu9aqLT2MnuYtB8DqvsExeoKvj+Mb5r
g6YFbi1StH1pyGQqzG7ANCMIpKZbz1CaNkMcteuuMu8dmQTQXDTrnJiER65X7/uoozllmplfzAQE
+Oi28k1ftXd0bnfRNG7sksIBScVDMpup3+vA+DA0mDSqGDCLcVE3tzeGhYIcYQWY3kS2JA+U3YMe
Mn2wbPeG6dHdPCZX2CC4Zrnf132EzoVoFemtvJ5iaTxGLCZSELeYz51J6FcMEi2cmurKBP6yMdAv
+6gZMkydItuUJt7EPDaqrc01eBl2bX8CSTXeI/Kc8MZEHGdeu5u76lzpSUAzl8FLYbCV3LSJ6e5E
JbAzWe2DEbbjbe7l4clgo3LE30LRYdr38BjFLo37/CEjPmPNr6rfDNbU04Ek3UjdrwXPTVktXYKo
z9h+hyfzNNj1iix0kxRvlrm+CrDas4D0GU9EK3ucvQs7N8dr9uakuI2wEsZBUdO39gm8VXkJ0xqa
VEAUO0vb+HowcOBMlasuMaugekcw8o1Sdw9YitDnwSn3lJTM9arZuA5SNp9KYxw/RWipOt2r1nob
OOveDiHidYsn3q7ceC8iq8gYoeA4njTd9r1BU49T69n3KlTOniALeC8QyNaa7iRbq9dJxUXqeEic
GsIBPoR7L66ohkoEDtSjs7jJaI0v0JZAifCy5NEuxCOyExKakHiGbVjsq3a8qrpefAdm39/Egz2A
SmshTdMPOYTlku1Ml4NGoa1eYyrc7z1alEuHZ/6JN9nDnr1GtjaDCj47LpCtMYeProkEBsfRKapa
4eP16WhZ1+jF9XU+QayiKj2FQCG4c2OZ+PkyVqv6yDldlFJXwxxUZ4HRJZcRjS5xnepM2XG/ywGE
PRYwz1YCxsRFV08K0W0DGi/Gnp8ToLTukzm57z3eRjZM800QzdejxYRVuHQ6JdGshypR1zyHtIMq
g3pr6Vb42pT5vAfseReOtb4h1oc5uii6S1aVsCfcOfZl4Sq/EPEZKPCU+bpZXlsJeOYcEcSqMdhd
Wg7eXGQ8gY+BZSJ6wvKAzlua8jvEaCxX3XynI/Y5G/FFrLS8xhKQQ03oHckpHFvfDSMqfKKAjLXp
edfsMb/Fwp1IesVVbXoU44w15AbsBOolkB+bXoFGIJQIDVARPOhEjf58D4JBNwaNgZjTzhOPbs/d
nFmCOONg9s6xHQjoBLAB2lUqQRtq7BaYaBdDcycq94fFZCMfFKevwXI4MjYYKy8ZQHsrsjEkkhqX
rYwYsBH1LpHllpYwlzOqcwZPyUNFibqphTWgyose8sLeWdqQ+aj3GjLPNe95Bj+1rb3qrRy5oOw2
u+trCGrJOA0+mtGLuccYTroCQ3g7uW+7RhwUqSPrZvlNMxoJtpJdCUsXjp7OK94KMb8qp/zaY4/n
S52JVsvorhniMkyx0iI+GYPwKo5qCGWYpVf0CNexYcv1FPQ0JHC4fFctCibkThiryQ5p+7SB04k1
Y27DmuCHDnbn4mXTOIVsFOIBSVN2Z71OeIcG03rDL4FQqkMJE0vrP+Xu/xFLWcDfpfb717XulXpT
36LvTTN92D7//GN/uIKFZ1rLntli0PGepWx9sdhNsGW2DUv8/C//tAUbcH5MIclsMKg/XeBvf9S6
hv5l8RCzEpcoRlE8/FvIns8sZZtBB5ZlQmBpm/jHT02bVeEAVZWqGdlZz8GosAowESNNEzUSALZV
WpOWFHrOGYXRt3ff1C+a1L90bZ9emq38+yZVJMYCem3rjWeSYRFGSAmjZN5XafA61Kj3fv9qYvkk
75tER+hMDpcBrw6GWizdw/uXS4I+sTskO9s+SU0c/UG39tiF+qMrUmjl1ZMeJsmO3zSI0ky5G8/p
nTVlj+X3tnoCJICeeF60O+kVXrpzKxk5/jIL21XwWNcBTF6cY6uYHEFDArr//bs3fvH2PZIayVE1
uVa4oD619KJBDWfjtyXApiv3jpRJu0IDjcm3N5cx4gzSkvmMD4dxvPJUEt+agXUpeI74PUhlpF71
UzqzqMOi8ayZxVkkzR1br9fQQTyGdeDQMQlcjQM/K/IBQMjCSggHd2eXEeosd6oPYS30O63QwSAE
WbPHw+sjZ0I/fE12xzqJ4k1vRTemlezDaXhFUrdKBxJFVO6PAeT+ME6vgQfdVNl0a9Zv0wIiwiP6
dYyJuHIm8D2MiZ3zsvE4NI0qPRAzrsAa2sWube3Mt1w+zFjIB7Mx5E5kIryzU/0asSQLc49XlnWf
nQnkwS9J3jk76Ios2aKOuRAW25WJgt9Z2ZgvfVq7+HJqHOgq2VDvdSdlqOOwfbDofU5MuEhnrsvk
AIBeezX0gQlsoUVd2JbuV6kLBzJDXF664GmYxi5yC9bKuA4CbwMOWbxW1tx/r1Snn/TG6SCi4QKe
JvI13SUbM5FpubVsMZ8UipfQ7XlNNp6x1YoFwhsnb3FY2oeBvROKccRYdK/XWls1aC0isg+zZ5gX
JzVQlbC3Gdbxq7FaAP1Gyx+okoCdVR4QsZW39Tn7hs2oyjtihoq/yT8QHEAfbicmaybtsaQGZ/rp
LEiD97eTF5ZGjQDN2KgsK/BiW3NZrKsadittSFixmLPkXbwgj+cI+HEUWIugYdFlBnGNwsOR96Po
1/OyoR6Ucr+PCz1Zpnq2a62gXdteq9/gTk0f21opdimB/uN4T/1nhvM3Mxym1SaH479+qN28JC9t
R5Lvh2fazz/185nmuAs2zoFZsaif3o1vbO+L6UouCGuJETGPUqt/PtKk/sUASsF1i1RD53HHef9f
pAtJJjAiLwiTUncBHP5bKb6u/fnaZBTILBKoB2F9PNPsT/PAEn6lhpyi3epUSkS+BYsalHIUZWjr
cXNxgaIXZaPY2jvvqCOtuR8LP1/kpS2xT2iVROieCirN7SBHeWbj9ojpGBZtqjM0rPXmo2Y1Ie1b
nXkoWZWzaFrT2hm63dRIFK99X2FNxhUBiHqRxKpmWHK1qEYPER1Ms1Eqz7lRpiR9nuORrAsDZXy4
wePO3h37MjMJvQhCSv3eZqZRq03ooNEde8+9mlNjPq81uO15NadrT6XlpqpVetML5P7QXbWX6aj2
1bPAfs3TriBuKoSeiYpz0RRZQRRtQxOxcE/79rhkpMP1OAqJqwGv0M7p8/G2XUTG8VFvrC/S4wlu
qF/N0/gsiRZF1FvoFT5C9mIo44/a5aOOGWpDpPvZUd9sH7XOfR6jpOoZv7SkosvqMm+MOl1NTHae
q6NeGu8+p3581FGD01csoFGVXeCXsJ5dPM6ouukCWKZ5xeKrlVm36o8Kbc1Z1Npuj7GWaQPi6wNc
s2aN90Q9KkXO40p0XSvOiD1anEljk29rxGOvslNsxOH5gQBGIx4ZxnjvKaz0i8Kc3erAAuakSmeM
zLIaRmhWQ/XAUwDTwlF7nlvKCRGK1Cx99FlZD9FRqI6/MvTr2YsXU5VZ3hA4lNQYddvxoR+67Kqo
6ugaK3TSbAP8C/uIicAOdn34lPxUyWOGcVyceQr5vLso6VVX9c2JbQyGtmbBg9ie7d0k9pqJBt86
yvG9ozTfYJnFyq5ZYhImdMqrHCLNXVv3rBED156qlUE4cb+uyrYLsDstDgDvaAY4+gIUeSvP1Eju
GYYQzE3I8/AQ9Ec/Aaw5FshtamMbwwpcyB3sscV0MCSy2nRHM4Jeaj1wCk+dIUgS16od3Ps0aVl9
Qpnt11rR5vna6/P5KjiaHPAXlTw+SdCLGRFcGVhCacWZCOwy9MPQCkl0fIYsmZ46RxOFUdKKVp3u
+MbRZMHuvTuJg4mYXn3EltNYBf1eUdrPXphQP+ZGbCD+VRqO4apXHu1qJfA84fE8uHLskm3Z0D7q
dPUQIWcNF0g5dOGNOQtPgaRLvCd9iOvHRM/cV5tcarBOfcfSXeMvJ0cnxennPqo+ZuhA1KKJHcUw
Xxh82PpliOvXZniyOFa8xbxSA5qcEIUp86TpceOQ0gEeZysX04tVRu1rlISkZWZHV0xzdMiIdFak
C04C50yI+a7AP9Nji2B7iqoFgiFOG1Tj6C8jmoR+PdoMRdfjT2fO0aUDjmXAoTeahs8YCx+P57Kv
WrHNWko+vZvQQ+sevh/kB95LaWrxS3r0BInFHjQtRqFksQwV3OEgtMm8/dbYdnnhLOaiUdfnh8hj
HrISAQakZrEikSaNK2k8OpTIC+2/anMhaerNBZNRemcu6oB7rqhkMTtzVR49TzxMpudUTdkF9CE8
UWzZTYfg0FDsEL8UFFVO/y1pUExB+Kuxu2OuKo4+K0auqj3Nj/6rMLPnWw4bK79Dpxm8uInmXoij
bct2mMK2YZU+4bHE1uV2rrMk0+baY734vlDL6z8UXNIFzF1hDIMLjz6d+/tM10X51skaG1l6tJSB
ekjdB/NoNVNH25lCyejszKMdjUZcZ3x6tKk1i2PNWbxr7tHGZiyOtnzxtpEOgs2tPTresL6FHR44
ubjhOlGpl2xxyKnFKycW15w1WtqtebTSIWZHU4TRBQEb5ByxAfHdv6B7kfY+Xtx4Xqoh+uzZNR6M
osOtt/j2uswBSmiUg7sxKlkWe2LXzPhWN/PR4meD+KFGh0+kWeRmW7SW8pCOglFMas6VgThTN95U
UDmX6J/kV03r8ysBVxHwJN7SDLNifJVHXc6BIkKLkAxrKL4mi08Rndoo12pxL+KPitZR3JTuRpuR
LwKpyQbnDkJ2/wOjjEDYmQM5sn7aIluYVIybQrVGY0BEVTwGmCgJqcgBYSzWSquflv3KHFypo/XS
iQNsmG7ncGqZizuzXXyag0yDPQQJfSuYNzLMws8JGHU8FZoQ+1D10R2QiQjfPxPbCv0u1XWnnluS
q4JVmC9cBhPQCpoW7kMNxaBTnFl9Iy/xzNwozPW+tOtHFincmGGp0byydi5jKziNZaMYk7Xm2xgl
+iHEwAIxu6rXXV9NvjnFOF/pFYPa+Q6v4bULTW1nxODLF9CtWqs2NpgahaP52KUxJkxGw1y1kdVC
TRGlOcgDZN6U4RH6uOowmCCaGICVMESkBkIRC+wkkdQghZq3I7q9cTVG7ltZ1iXMBaMzHiKMkfOq
gvZhkV2TueMFspPiLUA0jaKlp9QxI+xoOGTa8szsEnwYZBcizUu0jeih+KoIeztrc9eHgua0sAHj
hDSkTN9EwCFvUgtzqdUHGZEmHi594jN/uHHQPWeubMmontpXDXrJmobUjAkbQFu3Mq3AvnDsEvGl
NxTGhsSOmQydpkjtsykpNe3eBDPB2HzoY+a2SJMKX9RxP1/Uixh6k3PBkOZXoWZhwthJvKgNEfJV
rMmLGhNJvM5GMk43paEkio4oTQ7eLNvv7tK753Y2cO24VXbI89aTa06E3sFReow2wCAIiqbxzoe5
8s50aGPTujNU9JpXrTyxmoalVYA87bUSnU2h4pXTV7rELvGBgyBsVGgcu5Vi7ungFTQgP3U6BIlD
iM5gl08WjWfKt3xugATGm5xK5tRitE/SHMUyogh3IBlAtA8UUUjGU88Q39p6ap5YnUQnWW65ESNh
F0s2D6XxIqR/5kniNRjyHMMKDMKKjORSOQb+NWlbHQQGLZp9I+0a+6wnnulgNYbLAovDDgNqszz9
EBZjfAYOyemOjuUcYgmhf6Pnun5uZfb1AKbyQTLhIWDUjcsDOePOUzLUKtkXRlRf91iSS2jCopk2
5ExQFMQlRIPLxgjC8zFp4RlITDQvTL/qa1Hl9k3QNuyEAmF3hOf2sySgRgmuk95CRpJKQnnwhSZ+
4w4YHQA5DSuNwvTaCq3hVAV8PWsAkzMRHtFsPZC8AVQiJMapQjEMcWfjRqabP4ZEw35nloJdK2VD
wo8MS3WURCDnd4HqshcKheBm6kfE4y4+aH1V1qwyuW28MN8A6gQ3C7MBogAH9AS+Jom6hzQwDfpa
ntGXqpyC00L1/YZboPmeK8u4GdI+an2j8rLraB61e0GG0YPoR2snes/7rmSv30+kQp26lqU9T3qA
YS+ok/l6KBP1zPlLuWDWHfEEudsmmCcXweaQ6+5BB8bxWMYTqlHFM+aRzShIHTNlecEhoCeENHUx
4APTk4CqQomKjEpZT80DWDKqmBY5UUMiELpr2+lp0Ms+koe4FXa2rQnzRTYbHXX6UVRPu0BGYXwy
d3Z6aimTeZAyF/NZnGS15isPmnNf9Pm3tnHdmumhgt3b0ks9mAmRJEQ9D2Nj7HRU3Nqaqxe0K3YT
tPNSSyoWSPMw9KzDitLTXmCwOgSwiMwtfeBdOCuiIpkR7M097Y6PiaZ0n+pxMNwbC6txu/O40ioT
zZ9hOaskUC8Wq5NlZZxshyXrqBszZxPC+dF2Y2HaB8n9xIU5I2Y9w8BZIWOVZi8XDi8FK6QXBESu
dafzvJkJLJiC69SjJrhacgqJ+Elnj6QyAIHAzSK2FOzJ3FBthA6rVbJS7ns6lQzbDYvaIqrr+jya
S8oj6EwKyoVR5eZFl8giOLHAjUaXZJwqLA6ATId90sYkRYOdusahUGt4YahJ7qZMhxbBRsKSW7Lt
ovhgGUmMOT2smnyPLWKatpBdpvZrPk/6i0d+ok3IhLKCrylcfzynY2g4ZyFKzABUXjxgbkDjhdFZ
YOuM4Q0QDxn54ST0r9LuUVg1XTOodR1UiyHPmrwzHt/1sE9dg1D5KTfw3oP83Ze6SHcdYkqA3YE9
3kYFRIPDFEOYI/MB496qMFWYnJemMzjkORgl2KJUkGtEoormd+Fg72BUeXDDm3JEX4xFpmZBFzjB
SVGrqRbs34U+rXgywOLQNDtrn8eUcruqxyk/z5YpOUYdNoyIIFF+VSeFDvJtj0x3EV8RPxY98JCy
2wNwloIyRx/A2A4SO9gqjtks3+MnNZNXg3u4vA5VN2Hpq7AHRXWAyFpv7f6KfGbvOaG4Y0MzdZUD
DB5DlF828cS+LsT1cBpp5pxt2Mk6aDA0B/StaEj4mN1GO0V1+uyRWpIjbYDUEKUVz0T2lF81iQRh
hX3gKmnDm6SvdYXLPm25eDy0mqtZ9gglRrtCuRpgFhfIiqFO4FP4MROVIQ4G1hCNqeWwCDiyaPo2
hY2UaKyMkIJV71sAZdAxFO6MtbJDyfPfmvJDL2vNJOyIXJuw5WwqwJWchiN3LFUL8zk/cCfLXoda
2L+2jqsWWqKrk0djN4hEJlrhbB+3DSq/tp/Ch5Y9Fb8PMrktkoxD43KyZSbOPb3oQ/ZamR6T69Pr
ml8j0ShWJRnwYCMbfbFAFM4bMUZNvBlr0d63SGG5vZKqeck1uzjgE9XWme0EZ0QeEnYE9duwIURa
4DLn3JKXVhYCAAKftourJD8kGL1nMI58HfZgN4j0xu7umBdjeiHs4K50sAINc3uoyEZ/AYsTPkxT
3D1OeNuSHd56cdJLwzkonHHGWrkI9UIc9NU6Rfarrx3CFHOf0BJi0ArQPdmFpxTGIOiJubfV+GAP
oIK9U9eegeeNALYGBumQ3H1iyUiFbAK79jvohzDawTr1/gCrkhO79uyfG4P/tunm8kLfyv+3kk05
cn+rPLuNU/z376eWjBOXP/LPTZyLSsxFW2b9TMj4U3XmElAKHFfoxiI5W/79P4eWwv0C7tKh6XEZ
NC37uz+Hlg54Xg+1GaLDZZxJRuqnDNPfZZoaHxdxxPmZGEAtygiXhzSsvU+SM56tOvl3NCYmNqST
uRlgw5bxuUn6A5HZA0SSGo6fuYQ5DFU43sdDGp4UBtlgNfIe32COwtCyd78lUWv4AYfUDVSb8VBq
VXdO6MLfJaF+VHv+9f0u67Z3plXiAewudidjT4LRsEcshzuH5x/JwYGvV0zRRO2BM8r1YPduFv2L
taE8rrr+3OT99aU/LQ4r28wrnizTPg5bhFBMci6wFbnbuR7LTaK00sf3oq2UgdE0FdbluMAamODm
vud4LMAqq9lPc2EBoR0Ie0PFhb44uhSeYNtU8e3ZcrzMeE6eBx0My9gpMao0hb5viVKoiNsA98pk
S2dGBSmAzUyVuf1TGmvT7BOTWV+VUV7u6InVbS/1ENsj5QSBbvEmq0R+knt6eY4BKD5vGAo9R2ro
fIO49LPYoKWf0KNtceFt9OLb1Ef6ge3KDmugRlsU0doNhn5vDuV4cMBS7TJJGFQwhvE2gY2VNB55
814p1FMVWzrCci3ZspehJAprwrVIMYShmNxbdnCppuGa7rHhWeEPmfZktoV32gFeOpkS77GdhbaD
HIOC1tT9KbLFWTKH53lO71IhzvfdKWHUqOKdHKAn9K7z0uXgs3qm4iuYfCfAktHR99Ml6nFri9qs
2yidOBItYmhX9SOIVhVQWUDhL7Ho0Kbq+BZKmLbjSTBPgR82ld9X+kpAniiTmvlnwBhM6vWW9e3o
V2SEbYm97ndl4pobMWA7KMYJJMqklxs+WESRA7raamz96xA24cYOUbpBpOuIaM/RTClPnnDXQIxT
p8Hksd11BWlm0XiHQ7i/HvORMiwnTK2yFZPyodrrkXaHbhoPXoOVDMArPX9ZRpeegvPXS5mdedGy
n8WP3bp2gEfX1ncdJMWDaVbu2hWEetREvK2hUVuM7IlT6Ec532ljDbke10zZ9+jd8sMsGyI06HYB
QHE1jxZwo6HC2KVcpOSSUdnpEEZknsUddMc+f4UBfNcRsNsAKtjVtUvuinun6zxwbAbpJIKAvqN6
WeFB3tuyAy5US2ddOLh9M+Hi8VOVP3gByBTPgt/sIgQ1g51tPRRFm64byaAwssiAoAtLfIA2sNey
hFVszfrZcZMdZNEbo9D1Uy2ENWMP7DJGGgACUzo09mWV3mJg1PzJcXbjYN4C+qfjdUesZjAIV6lK
Lmx3FCjSHLFIRbt1B9bTB5C20wYCG4SmbUybUAMBncjKvdPQSg8QOm9il5VOPY133RhjWI3XXRdd
9BRZe4LH/QEX5dg+zFl96dTYNB1d3USMPmjA0ngLi32DhOsljZls22Fz3qSkXObFHcbZjRi9LZG+
34DqbzpKLT9zmLBSoUTrVpoXqM2inUFmTpzUYPI8mNbG5eiEJ0lQiPPcrjWxoiJ3tmFAkvqqlGX7
ytLK4nsv9NsRyBDSRHGjUX5sg3jQubf7ka1NOOI2b+yc7l96L1GGnUPnYx1A+kOEyzzEyOxKcRvW
FYPsqYP4FlGcjdiC900Fu1mkhDVWqg39Jk+taxeR0CqDyXWe6LXaZzhyl3iehnGDfo+TG1ksUZCn
E7Ctu8ZzOSwIzMBGo+mI+I0WD4wT02oWjn4GQxU5bK2amzoAxI4csdrHRAAzj0n4QWaZa5p2aGX4
IlmXBZfVNJ00Qk4by07vpiLp6KOwotqp+cDYEqxB5cC+nkJj1Qj0EpqomgtRE1isuzQiHbAkcKDo
EIgpnVceIb2H0AH1mmiNvoNsGG8cvQ847FrrKWcl5AQz5x12mHx2mUEMboLtyJ73zeDMK80ofzgI
DBl4dTsLafla69N033rxs9Qac2PGwbUTy2JtRIG2HVtWW/Ts6Di1xDgwUiou5sa6+f1zbFmQf3qK
IecQluFQT1JEfFpSGpoZGVq6dFBeeV3GsCDzhDYewOjfpMd9yiw/Pi8/vNKn0gLBZxFhkZf7PlTE
kQTed2NuIScy2oa+Z7/aAifjaJH44S0nb+Vg2vj9Z5UfN7I/3wIiJ1NaKFuwpHwS37hlMSRFOxt7
TiuKad0U7LJUi2c+cxxfaxzNj2sjvQVB1e1T5NwXaHTHVcQY7hRVbn2KmwQFRFs+2YSWXCMr8fyU
9jJahYQYXVjOTFAGhF8/6bNwz6Sx2AuUwptmnjgEgc43te7ugfv8INpEAzu5YFOb/Jr3ocHDyF5+
/3l/9bt9/3E/iXUSMyP5iCHoHuFwcNM2zMEnFm0+bLB5/fuX+qii+uc36yyIEv4HW8Ty39/VYcZA
W9kx99jHyvnRMfBfTZb5Fd9j4TdW9fT7F/uUPv/XV6O2fv9qWhzk/VgmYm/F/RVLT/koocsfkiF8
M+KGQBo77a4YDkek0oh532ksMUUKI8O1w+7cS0iX4jfpM+LYZXY9bpNWdcRdcrjRfeZ+HPMrTK1B
96MusXwxlcUV7iEs32mDn240+NvKhC2+1M7GpSipl/LEpE75/edcPsane5OKHy+iI1yX73W5nN99
qTBWbV3jObK3a6iaKTGb61zCQM89W7sCd4HRVdVZ+je/yl/dqB9e9lNNLbqSw60cJKtda8FJWG9O
avBkbgK2sYxzT4ppvAhAx11hQiw3SA3Sv7lRf/kWOJQ8GyINNhsyRz588kw3xrZCLr+XMTjtlkdi
bLXnaDrwZ3eWtsoqm4QKnXpT2l859evt77/5X1zOoOn/fP1Pd44aCOYwitDcd5n6Ktt4vOiKQJ7k
NYL5SQv/RsW0dAqff8+I9YnU0A2BwvrTp40G0BhdiZrfkm1yZgwkj8UtVN3ff6ZfnAZ8n3++yqfP
1Epd9plVmvscOsiKsHom8jiSu9yu/ubX96tXWj6KLhgVI6X+fBhUniqQNuv7ORhQZ7jGY2Z7B54z
f/OJfnmZvH+hT+cA/YfqkACaPE0q53s8dJeJcMydxzQDrI6St2nYsRgmPDe6hOhIK1BhsPj91/qL
ltnUcaNxi+roiujdP16rQTSC5I8DuUd7U+1nKDJ3gByMAxQQua8ImikrL/XDPsQ7QFzjug6jes1e
A+Jprr1oGI+x2UBaXKqL4jQN80e7kRiqYvGQNAiEfv925V8vNtzO7E9dhhK8Y6hRH24t3LgpcRwN
by1Up8UEYs+I9HhHIpqOJn0+Hz173FRKB+gCEog4kQq/PeVIjEXftxYzRk8Yl9/05ObmRbBJSoN1
Fz1Nq5FXQxPxo6pI29XrnBJOmqeG09fgMsn7YF1qryst7jYVie1+VwX1qs++i1g3VtNQ52vd7s2z
tm1/ljj/bTOo9yOo/58iXx2gB+Spvrs+/Jfu5R8/JedLbu3//B//q3h7yV+Kf7wUb/+4iL+Vry/N
Pw5txv9t38+v/vibfk6wPPnFs+jbbIMzwzEIAf/DN0mQ6+JadEwPNabFQPuPGZYhv/Bvlhwp0ySc
lTbjjxkWKnMLFacH+dASOj/xb2nJjY+PzUVoZ2AB1tHM6x7HHX/bhyu8bRESlPHY7KKBcO3Eyl+L
yk03LAnbVRQ01ZZr/QfnQrWevfSVpDUqToIl13UPnTMuWX26ResHgIjXwRA/9CU37bsv+RfDo08H
1/EtgoADZY9kFb0h4vkPb5GxBMrFNGx2bk50pzabpNpHNTSZyDvr65oMyPHCbpXfhuC1UptMgv+r
N4C5VPBVOXi0P74B0OmVy+C92R2zQ+U8oscCxkWGZoChkdA3RULB/2buTJbbZtYt+yoVd44b6JtB
DYogAFKiOlu25X+CsGwLTaJJ9M3T1wJ9qq5Fu6Q4k4o7OCf8h2wRBBKZX7O/tZFFERaBTdxRkO7e
uYTXh8SvW2CzCWloUWCzXA6HdyZOAUVZNFE7JPhcac7jkIJ+ad6TCF/U6f7PB9l8jIkSUzcuvqq9
wvxelrqJqhq0Fj0iL3R6+VQDQg7BvGb+AtmZkJHK5TgxJuTEanVSZv3Boq55KsGgwPIy4m9dziBP
O+vqB0OQhW/vReRZc0uRvl6itmQ8TpFkC0KYDtmmlLt2gF5HtA9dctDv6TQVrD9u5NLYX7sYL562
c/dm1uBfWDFlS+65oDpe05sl/gQtndVarrjBuFaIynG+xWH+RTNWpibH4rlSsAYBJYbPoPeTas0H
rI6+vL1ItrDjv8KS7cbxSmxjzBq1YIL67Qn+Fn46a8WMatbIiFFdIODz8jWH+uCaKLiYVNvEGdSf
nGb03gm+9G31v/5g04L16aC+1s/byOsPLqXnyI46QOR2Kc0syoFHzKj6g67TBUygcwOSWEe/bnUI
M0xchhUwEd9xKx5oMetBkSYh7ooeA2C8U4ami70XU/ykcbhERc7IxVaeR/ep0Bt++55dCtK5aSjh
kfwiTLc9qJwXx6s6eCaeDGkRIY+o9o1iWdcJnTbfGDGEnYY6EE5fRH3cl7dydmmBacethI4JcccA
nE3LctuAzDmsrZPt2IA0OiotnsKXxiCFwgUaF59y3fe3r/vPZ23aOrPw9BZ0mgAb6PL3Z91jYKq2
I5c9Ke0G6mJXctHk/brRrS09vxl65prNQv+3gt9tlfHJ5uZfb1tori9N5Qe9jCmCtkUUj50EteNR
NkSM+k5I+jrq+fUpxtbWoJ/q0f6+KHNUhSwNyL5FlC5OFTltI66wUn5+5yaeEQ8XK9fGIUun2auR
tegXT58pTAczlLGgvl280DtuC6b66DUiNoa6bPKSe8rE2TJiJ11pK6mcVbxoibk+SCyHrGpIOXcW
z9fMERAZmQ6m0ol6KDoWucgnHVGiksGcdx8VG5dQ1XZuca9pjxkNvD1M+3w3Yj0cKsaEXTWVlcCt
rUjFbdm3tFn3MwbbQfzy17rU0k40lsDO0Bjl9eDfm40LrHxlFkZf+RMmDxjQYaRIRyXzwmpQql3q
STPU0QChuUIEBv1vF/f5c7lmz1ZuPKCKiK9iiZODaeQvOBfXB9id3k71qoMyeyrNX9ULizp7aZPY
3Q01ey4lYOa7Rky9XI31XSUd5BZZIHVlDZoi+UTDaQ3HwntMWRy+0guu24Ae6IFWSUc9MPT+CRiL
50/b7o3rYfdFzlaHBK919zOeZr4w+bACLME3TUV+3Oq4khRT9twhG9yjaMfi1GboHtjAP1XLOCgj
oPqHkQwYw8aVg3i1lcAp8hct5UuPCXKzEojoDoDph1YXP23B6TlRd0+micq5y8Y9DbILBAcILnJr
T41HeXJU2e3NGEsVPF5cpoiM2B+woQvZy6oIkcszLSjGzxs7wyGXE7hYqFOWZnmyCvkx17zHZlMu
U/rs9yJ204jgx+BgQaBZGDyaqms/2BkCylIOdwQYUexUz63a0VoZ0KQwitwF3szThHogmSDNbWbM
7bBpipfKa3U6U+N1048YCIsXNIaMuCNB3CcmX7SbSsDexk1ssALdanT3DLndirjGkRy2JrIo5uz1
gbGoWLLOEfYqQCKIr6BwSX8ZxYuSYLpu82Rxx36x8IbBkbCxPo+CWa8qcWnWmCWKvDh5wUqDRQBr
dKdmk7tX0vo04w+9SwUndbGWzzjFFXeDp5GtjIr7kQp2iGvIMzy6+pAuEPVs7GmBP/AdCU9Pdj4Q
W20PhsjgtrNxbGdmgf/a1u4ysWxU6QG2wCUaU5Ts2Y2JGa3EeDDcwov6pXh21REVKitco46EFQpr
qV257riaQwyLqgDoXLTo7qP0CGRSBEu/XoGSFaZpxkPXQzuwNgAf/Zf1pmIohPrqFm0o/L66lMbO
TVlBhsbj71ReFzng/6hD3zhNKoVBbYLXAPoC8l6fPZ8vnMsliiHLxmWDM420lOkya+i+oC+H59kz
XN5ImgeFk8qb2vMajLd5dg5as2BtnKNmz1xTSZUexkXOwPF4qqeapqRADT73MeAgNjAIgmxYjsW/
4XuwdBn33R5wqVoPetE81chVwQTkL43NVaMVez5vF4MjXvqZY8wd2QmqPOEDOht/5YITRDJosmu1
HlLjxE0kGSAeWomniJKd3Uixkmp1firwvdkzf+Fih62JwF7lk6XXp/Pp5KmsYhVyVGhpZnyl2/kL
arX4HrO3sCRIAnK7mkHbVTK0ZlxfF+9Hhe/AzqAvva8IunaU8T8hfmbLU/i9I3utsGtuCFq41ime
e+KrbTtbKm5EWti3501psNheMNd4ymeuLcNrQa+p7DcFtmjONuwAkgX+Wf68KFkOlLuFXwcP61c2
kW4Bi50ZgC45djB1uj1/Q5SSL9srARb/YTsKMOJ96CUXdn4GUvdus1IBblJhcyWmk5vklq9V27LB
JQ6VolUiJG2fsH3TTlabvwiZFFSbWSqtymI873SuyWZi0YmrF4sd1V6VgN1kuutwmMDJkPc3582k
ybDyrzAiOxSii6/67elAz8fQDDbLmlS4A+S8h7Nc56vzTpzNWyBmJwVuRUDbOOPxC1tdxvzQ8e/4
FzZX4s7oxPip2/EAhgwAe1YjB2bCiY6rp4q9u2lYqLZJnzXMr9/OFUNwUd0WPAvbetDaOMCgbYmM
mNEcgdbc31bYvPI3U0mYzk6DOwaPaqpZdC28B5/6IMsU9aePzrCKDI+AYnu6zLtgpMIb7qTs+mRB
VdQk/MJmJCs477/FtjvGTQpAWGjGTsEF6tCAYwu2Mw5Jq8GIMKvaGniBnFWcbJur1pGD09DXxP4c
DuNoXgTD1IobJS6WTypIvYNT8nZDDzSY/RHP57WCRO0ZfsBLtc6PsZovHBgtFZGRW72dNjA/ORh7
XgHQ0VBSHRvmClS/nTmiyTJ7LMLgrA67QVZNiEMY6ky7zW4n0LR7+h/E55YTAkmEISdrDrylb27Z
JZvrzEz7ozkxEQG0xt7NRgqKQ1u9UAyI8+vai/d505v0OaZl2mH9SU9crslzCnG0JZw2s3DU5Ljr
3QzJowMPE9z2C7Lup7it+nAms/queGL9aOAle43sdd4nsv+Yg++NyHOyvR5r2hO9BFQT5QJezjFA
9mNZujeMVT1gmYQMkzRprHGphLk9Qoq0UudeG8ptQmbBCHXaTEOZeTq6WwInUuLkZm1vDS01Q8ec
tSvVS54HpZj3uYMkl5KX4evorULBCOz12vI6yYrNfkvzgO+JfarRXeV470KL2dmDB5DiFh45qLvN
Q3OqCyzITGgdYMPrHWg4kxiFIdK0xEsFmR9aYL39ma8EbD2qrJ3WVCBwYvQT1COPvdc8ARuFez7I
dTca9nQzGjiWCWToEYDp3M9yM+bjGS/DvTDeBoP53SvknkzThrAdrKuCKZakSKafyKXTAxTteD/N
cGJIoL7TKgvyZPk+IIymyUijYgOH+rWLT4nS9Mjm9AxeJvwH5o5VJMJmravkcBn67owyf57mmOXg
7DsmJpw0+15B9kNJmjBRRXSwIItzE55pkt7QCL/OavZfc5w+aep0BaTO3blZKdnKlZ/SZvE5E2Qf
fQZBIgblm9Wz6+YNXk/9aj4kItchHaqnVjHEvsKYGnr40CE31JRDkzGv183Yabtb5rMKifJ+ZVvK
huxFm2svTDdLOi1mp4FQs3wyerPZnvDqTwUnkFnZ8csE99vXNbf4jG7TvDZX9ek8ea5o3RN22YRU
omkxEfU2IFA1BDiH9ZGoCYLTuVnDSRAxqeRwgh4v+urzPm4q4gQ/7qVJ2BxUzeoDZay9aJBMHJ4z
ejQqbAcGr6krCWQqVXswwFEivs0QLpSs23pboiTMkTlNz944uJGoxofUZcXEwGh2SoUH5spRsF3n
6KoPGtWHqLM10kJO651HmD1o6bOw6idVYAY8WupDB6QIET++gVPazVcgU+pdpjoDzdPkHqOik1y0
f0ggm1AdcbfsVL39NCjia86ZljCa3uiLd4W/qMF8TS5u8omrcYmqmE/tia637XRF63gjBk680e1l
OFnuo5EB/lzKEwHGfL86c0sUaNzIlrhG0TycgTKbvBE6aa9PjMTP5UdPn4JRT9ewR8WPVLu1b80p
T+9VJjG/Zir3viJMDjThHAuTFQZlVDkwrlATYHFPGWDjPpuOiyFchZpSyabHslEAYLYsN30rXmUJ
mgRgLrAY2ddisNKBaNL5VlEMfQBPtG3SG06AaVhi765HijARY+rriG9SlmNg29aHItGiWB26o+bl
L5WSviSc9m3LOcQk4G1icJ3nE72fScK2cKfZ1mrCMrmNTRRHCTEBybUe5MaiBAoXDESFM7Na6gIi
FVkLQ3DzzmFqZj8k7ROYHfKFaZjuEsYU0MSqPGyc4yP0XvHVQmVy83+f74TdA9lhxM8vVS1QEpUp
OweD44KMHps31iTto+qUjQZhlAl9IXE97ZRg+7gvdNbwnBrrPyWI4B9tNntAK/kFLkOmvlcPCWMh
rCZvwWqpmDp+S1u+bONKz2U8VqeCU++8+sk3sYrHH4Fk9YUiBN+qsD+4+Lranv6AnTKpXszJlUvl
51aosswVJnzijTdWwxNZxHYGJqzPoWbeHgvPbVNI5EMLBInDDPwT/SFIPGp6u2RsYxQjRVA6EE+x
5bpSsMNlx5XXi76ugdnw8UsBqTw3CbAyRb9DwV9SNgGloKSTtkej5oWsdo64gUc0VubD+eyFzdyx
kuLHtxN/62/lBZsJcJpeDh4f9kUHb8zHDaK3iAiXRRJxg4Kt1fdPjaQomKvlGq6KJvgWPOV+LdYw
1cuBrUZ+tpovbiMfVTcDacr4R7iFGYOjKoHtOI9iTO5VfV7R8jvKAQEVGGUQ8j6guHsb9xowTj0B
cJ98OhcyzzmSo+k/sr5MX+y5xxGgtx80LKn2k9JrJ91e5itbziXUJY2AbtyCUnw9fKzhMvIlgSKl
t4i9FFoy5yRs0Az3w+D+QLzcXlddAy882aLANKsRWBnQMBI3Pgqmlv/9EjkdAfQoiF1tqgKXHM+8
yNIy4U3BspGUw3Wm+KobqEjYOkEXqqLP2VZK5ftx/g+8btpE0Pj2Y/1LUcz1aGYw3c3oKvXc10Ux
KC7YOehiiHIHKBIWf+mBCVROIbthyEPJYQnao+qPRWa8U646m61cFJJI32l9QzYwdWpJrz+aNxs2
iPCGyG1wF7XY1Pc5iP6NRlbuzVVCskeQEsTqiq7Lyu9rptA/elKPFmPWnt6+DX/2UyBsQK1xDOZR
Wd4XdeBBH3D5rCcRmdsmsBUMGAMlhO7mPmgtDFoTdte3P3L7epdfn1a4Y9KeULVf2tvfSs9GBc6m
pSgVdbHhBkWzuEGT8CetqB/nrh13qJNBZE0tAwDJWB7e/vS/vM30CSjQ0iQ9t7Je3/ySm2r0kBsA
uRKMCQo6fkVC8c4K/8ttpcqsWza2O39pU3Ga6gixrT5atcz0hxUVRZvP/yhLd9t5xdelx3rs7e+l
/e2LbaQMl/r2hqnVX38xHNISwpKyj5Is766RJ3lh1pvtkS2BUs7kgk8k5wA2RG3PTp7LuViiEZwZ
iPRm8Isx+7EWn9++ptdKi3NhdusjMly96Tz+WFxSKdrMUyXvmMj/qaW1/PwV/IqcGA9jodu3P27r
Ml6sLNw1AF9S9QeQT2L++hYMuqPYcSW6yM2c2xbE0b5S8LqtsVLzVaLmnTba38wi/yTV8ghY8FOb
2cpuzKabQRc/enfCpMbK1ndEBFtX9o/LQhVrsdR5te1zS+T3BQ9ufEmYK4dJOFKnKQiebabhw0FF
uIlPIHS+5pRSJPvC9JwMu5pHpIC6h4hdP2ntTGGKOA5djM6gUl3hWWobt5OGWq3P8+92d7B6pKyr
SQjSO0ejMx6QR78MScp8YzLkkJsS/H6p1DgQgpgcp7e0dR0FEHk45EXum2WfIzrdcmtVhfEf46nK
iCCE7q2UtbXtzgdbvqrt8e1HdsmcokOwdZItk74y3Bb7sp8LVGDuSQxllMSkC4vVJDDZE5SDE3br
0mlAoOOaTemgxNNvxMlz+5qUVvGnbrCld2HEMvMK5AcTqCupDkpgqXSJxi1uXgGAh12ZQIkVpdgx
pawzdP3ufnYWgbze0Bz0SDo4X0ZJVUvdnv9vz5daBvt8S7BJUIrXq+cqe2pqTOU4zM/qiDBSuzy5
ntUGWu40+ABmYTsxvvD2rfxz8TND4rG84GKjWTEv2s4oOw2JA20TMXBzpU/cGJ2VkFWj/c4H6X/u
NLQO0W4hKUUbA+vx9felCxI3uI0yzQrjJM+Je7RFbA4rffVSrB0VDoeqVLZVlxngr3eYBHIxgwfg
sWRaa5LpM2ajzxnjZyenJN8TpIDcXxHUW85YkbxT3z6hCadwCnLhoMTkLm/frb89NBp4NEAtR0XH
dNk5rshcdWZ5ZZR2JeyKAkestpqlX3ZEnSjzm8CYhh9bvrQIyk9Dk74spfvOjvXnBukgi6CfaDDd
86eaARvpzpGaJiOQlj8NjNJ8bgMfBljZn5b3Pk3f9r+LhbopgT36vgZiTvci8DBqrWfETpf0L6ck
FLJe9ltbcu30xPe0xKKAS0CNQJsjAnuNu3Ktn+q5Fjd2SXBvqsmzdLUFF5tmPYwk3vAbBJl5SWav
xN14kxvT3duP6c9z1HGwS6FR7Njs6JdCgtaanRKIkoywY0fH1DF6jEuAYNCD/IlSNuQ5tXinafmX
gJ9PY0UgIkZDhSj59fouCB2mutGx0sgpbDa1YZKIz4yn1ObMYEdPPTWpSjLa4dhRnrr2IG2ea4bU
24El6bUKW4cSQkyjaN8L/ORYANoVpRUtbIhmpUGKmWJ/sjes/gkqFNX0rSZSaSROOu3nsHe23Syz
qNdu7RdTH7IHQUbl442ZHswVHVwiGBRAmfapaPR1pyk09aRmuzuGgGWYOlswH09eBNABawOyuDN1
79zbqAsmTui5fd8yYTvr+bhZpUMR/2MomBBJ2U14YrIM336Uf902gLkh4KEnrKLZeH1bmd1kJtFk
20iWPr1HAEtRgPQl1C18/ygs15yBJLmZpz9TNqeabfGgq6lxmWCEslzZ7XTlLNSIznt9qU+0RpeM
+R2zw+qp7/Wv59amKTU4znRrr0ra3bdpzkN4+5v8GcC67K8EryhOVF21Lvb7NjFpwWKZGFUOh/Ew
o4Mune2VMNPxGjQCCCJ3Lb+abuzsDWcU75yZG8Xs4jV2ddOxDDQvyKEYN399Iz13Ft40V3WkFnTR
aqar7zVBvd8tqITDkTE/VxJieWak4ohtscooBifkjP8smzJ/Ahbb7AfVYYB/ZZlydtFRAmyyZ0j5
H5XZa7HUT/g9ARLf+g+UNjSFOl8850Eap+2TJbdugEWRPacoGanlVuObt3LuKrOHtpnMz2ph7aXq
ndoRZIRlr1aITSpV+8R74X8b0V1Rf5pdXkQwuZZIOLQb335If4kssDpCYqzh1sCpbG938bdTmUFn
UeVTWkcNTYpzgwDcNS1hjY6QzHgNwZtDyRVY2KhCZVaWiAFQDc0DCdmGNsyqDginWkgdnNYPxba/
NfajmcOrYPbxa0VHn2F2ehEO3mDR21f/577n6jYRBe+9Spp6mSIOAAW6ksJLhM1RpMX0F7etQixk
xedqVBGX7+x6fwTPwPfYBwySMpNIRnUuVhWzOPHSCjJBStsS1He/SVo5js+9mO78eAeaQiP7C0oO
RCPD1gYce0bBDLS6Qdu0IrAQs2wgi/c2j8uD8nxxmI1AvuQEdKzt5789THtx81wRlYjgGxuUBrkG
nCXpAvCciu2uvH37//Jx2yuOUsnQSCb+OHYYJ2BuqhbRZG2r1ilPi0JAZXasHXLH9zLiMwL394PZ
YY9jR0HRiZBNI3N8/fXSdqTb2GZplKapdfIypLIp3gL72QT83woG+CeQ/kFWQXZiTNg6ZBhtHTRN
qW5NMAFfJrP07vNxYPJuuOsYdAsau8eDehqbYOId3VNd6a4LV1aRN2HQIPsqO1VGjgfWWNLdXPsq
xNiLYvzY2lvv+gFrvfyYD0BD67xr9koNQAnvCXkghzFxLa2zaW+COvGxThqPczyFVCSboE0aMwJs
aFyh5VDoqIg7AFMmABfHiJgF5B7CdmN4S8nhmojkriJPDlemIfdF5br7IeUHqa48a5vaTgP28rAQ
qIVlAXDUgchyE28TjIKIjoogZKZdRp96X4nSuEKgaqEDE16+t8umCitpZldD3o4TSgsMLBhjMTCa
alzmibkGRcYJ9d2PsjfvkjTT9wrVYabqoRYJZdX+YU7AiOBjWO+8aMZloM7AB0EYo74kxMjwNvuR
39eylzTgHwtOeRQU7uGc9xgFqpGqU+lsE0vleqneyaapolhOAJfWhelTuT3AGgK620JHQdlDXO+0
Tr7PivR7oedGCD7Xhtwz2ZSURjMA95IDdNdohFdtFdJEMAH9cLddY1Uel3oyT9726/O6v+tT/dFy
UJtMs42SxBqMYGhLBpzyzn2n4HR5eCH744XiDSaOYaNRL5Y6O6dmGY1wIXesUQs+gxLRO2/v5eZ5
/ggHhaHlqYxI4dTy6gaThVkUAhIXwUAucTSk/Dq2I2mGXBGD9EbDvVHey4ougwI+lL3TJLghn2Db
uNihEsW1czttnbCpnSag+dX6clUb2m5CQzBAS08xrO5Yt2oMOFJ075S1tMvY3oHkTYCsE8BTT6Xi
8vpLL9hcjXlZO+GAvwt9+bzjaRvrHlM/PjC2vKP0ejdit3uk7CAiyDLjp7d3zbMC7tU2tl0DJXLw
By6i300g/vvK5rVpHb1V7DC3hbIfl6Y7lKbRkoirOCy0Y+b5Wal232A+xXC4HPO2nlGdVr3uflSE
s+7T0WEiaDLzcGDG8kntdG5l0xHdpTIsmcb7MGFyxsS1w9fpU+fUYM0Ot2NqPusJqoTdXGlZNHn9
veEkktk+pXgn+LK25PbVdySApWRqY0NF4Zqz+fV3BORhmw1HaDjwVp0mo51DVSYa1Ml6vDp/CY/h
tHt1SpxTl/IDGo+x763qui80tCMrIdjeoBbhG2mcHLwkBXBW5wrvtdoxhau/SLQYB2VkHGpwmXfP
EuNB6KURyDYbr9Y1ZRS2saGPWqsb2bMz0tVmttXKc9QcNmRxu19R+NRbj71SwlLq677dBtuZOw9F
23S3M/8ylBB4dmmafFgwbvDteCrul1V+XtvcYBMarqxp4GJNtdglTTre6JnTPyn1v0yumKpIftb3
v+7b7y5ixh8nLbeTIjyaSodSsHGZa0nPi7OVvClMREvtZFBa38nHU5ZMH0sGxJngNDVGhjGNzewl
9nUqXn5uSRdIEPhELCpzsCm84IXHa5ZXI9RKkeCauuTQFzEjvea3QCDDrpqOsFkdKCQNO266HYGu
+b7m0rsmy1N9FWgRDZXODBu9qRD16a2v2PVnvPiwf5iVx5KC9F6s+ES+/dKYf+xWzFWSbVI2smAZ
Uy59vaDyrF/ghRZWiOngcAfozPhHnyeaYFw4PNTBhcFYu33UT7MSGkrJjPvapNcaKECYGJjn5Snk
PoxWy09Zssk7Ml47wTQ3pnJWroT6JFmYNh6JLeK4vdqyRpa+zn0tc3N/AJYcLO0QzUuqoSUwP06j
8QThEJtBz/kYp9kPcp0B/kQ7QMFUHExt5HgDnNy9B4aoB2kBJxHDcNLxKpX7cpr7yKY2EJm0/EIa
kyz0kY+cvcJ4p4bzt7VD58Kk6M2+80dQuMxZSo+StcPo2wvTBu799q60g8x94ETjO2Vc54+TC/cC
zL+IIijXgPG4CJDLgVqVOvTssMip9jl96CeEZem1XCvNV1cAzYYa57ewvtJr3W3Z8FrCL5i6K6yt
hggerByeLeOX0YtPU2LfxKvVhRoqHzh8S5LX+2bhvR5zJK/8XRi69rpXPNZlm3N86BNvM2H7S901
64NeI+bTGiDwWl13h8HgHQAhXJ3yTrUDAS0pxJRr+jSNRfuBhj+Ojno6PsgsgwWvo9MQpkaJy16b
ADPh8QYxl3ekI/vQMx9z8MTCzrF6A6CByjm1TFfcTCrbcieFCLvtcuiYFlsgPn6yFtZWN3LMgNty
S9/SMesBabd5Fyv5rQ79FqZVBfQrdqDI4SWLM0BaK6HXAmnFPV0JsQBlM3I0O0ipBRGB8kKs77xo
f1ktLBJqMZsefTslX79nnW0XooTgGrotopzc4v61YFr8tTbrvWPxQrz9Yv/5eXQVUaQTYpGoW5dZ
ui0qlMFrbYVFWRKASN4GZHPeEc2RewAg2LzzNmh/BpakbeexVhJemnnedkW/JUku8rZGTxIzRMdk
BBnAEQosrn3KShpR1aqm13hBZkHS2aHEqOrQdmwXNpyOAFyWBnS8ohUwYbc0kzkDD+GgUkcetVqb
LaIErY9kw1fJ7Lr9UHZs11a1He5WjPXmmhX3OFp9w3JWw7rAilFcs+hsrfiGfrEJgD6zvcPl2yfU
Jh8ZiO2Oq+3eFGMqQroML/g4A9WZrBfhFN/0lGtX1H4OFzder6lr6YE2zBRW6vYRRA47lcLOfz5a
pSDUat0kfUJRZgReieBeQ+SLRoS3yfM4JVOW4HWdFur11Jt9BOWN07TE4z2RxCUCcro/lDB51e1d
XXT2j7Yc8GVf2d/EyDpfcXvbi7btDiiLOXsE224nZPM5A5EWct+MoMDijoaFU4OO5qz3lJQuwML8
+a+fFqx3plaVEA4B2XyNMmQ/6FPjz0gLdst26uapDkAuEw4vC9tFpk3EA/28chPn7pj2qnujNTTw
h4L/9PrEPXQObyiYYp5TQgRRxR5z7zXibzTffdQmXXubaaiIqj6uORf4mgpIv9tRWVdw1VoXDEtt
R8woeUe9zLh3heVGxWp/shfne4le1wdorh95O8cTMzVGwA7GKrYWNwKSS8iSEUafX3dsczEK68Cc
KAqngAQO6Kcl9z/1jJ6kncdxfrv+v819/jdkj2nwwTR7k5f8v30T/hdU32/f02/F/7hvv/342aW/
T3L+1y/41yin858QxTCtdA0YIDgfEI9PP7v+f/4HFpjMAeGtZWmXNDLcFdhD+Ns605om7Z3/O8mp
2/9JJ9fdposRwtA81/8dGhmJBdvR75E0Egj05UyMMggGQu1ytrpJSrlkHErHNsuS/DCsnbhzOmvo
9wC0MV6f56HID2VRyWHn4DjY7zK3Gpp97aT6kbpYHmDY2h7XtLLsG01lQmY3zhn/j6Ykw+5AAlxK
XCZoAmykccSrbQZdrFZXA+p5RnJbW1aZwUFY5Fe7UDEkq7UMuD2neUIeDfzJDZjvdD53E1uq1jsw
dFw89tRlAoCdueazXBchgpgUhH4tHuwFiNzE3XwbvOnB0zDIOcw1NQpfn1Vg+s2c4y+OLAzlMRRT
997QG/AyppSMfiyWltxUqmE+EOfJeCeaEcqjlk84zTVKA4QM/J/6kmZqvSKXcHnTTVMxP1RpbDKP
FpfJU8P8FpoSN16+G7bS38u8iDfFZYWdWC5BJRmtOX5L824+Wq5VUteSdvYV3UcHrhtyLUpYVaVP
YLf7qdTtowYYfWdUxKwgyysd7jbDCo+9rS9PtI/cflfhLd3TQa6zA4A70gVjbUGCmkteWoHsHONG
L7XpZppX5doocQTGrSBbb42sHLSPOmcUXB4Yr0kIXcPwvgC+b45LA1suKDxYQj4YVL2JlllT8D8o
kr7Njk3XWeodiPdJiqBZjc4Lc+Yg3MeO8ZAtHqG7GzOe+UTvk1nKZdxuVnoc+hQnxUpOAb/GvMao
qjm4wi2XO40hosQH4Dlqd4nj0nkGrDn5+ZQ3eGBvhkyDOn/oM/UlXxqcvwUyqol9Dugd1WFqSPqu
bTSdWZ1u8UdcHW45mvGqMzKL0QezDzOhLagHEajDKrAnNLje4HyksHqcpKIx2bjZASnFUAZmHn8k
tErwVR2/6NIgs7HpgrI+EPRZPzSYp9XYHieAlpFSqOXW24GXTDwRGBTwbhLdqK5sls0HjJmVo42J
nZ8bJreuaVz8BMttFFpeDTZig0QxfdtlTHKN3RsSFPgbJswI2LrNqUhBAeqqmf4wx66IXLMqv2S9
Vd2OhrAOw7gNUYGfRj6fDjtr7JI74UonANxVf3Bas76lj0p/XlhrsNJh2wRlavwpKeaPogehtmAb
f1yGCQS+47RX0k6RGHh1vHdmEOhmnTO1nRs4VmuCgClhGDfR49COCxhKFWhS9FTabowpJWj9cNPQ
HwbYnVJpyRdreCxSeT/KFmWLuk470MhIdOEn38UpdGJrXXpiFRRdFvD52tI5xlo/WcYPZKlwWB3l
Y1XJn8OQ3Qv0FTvA1iIo+r73q7xz7vDHS54SF5vDdENeN4RJT1RzJZuR8YhThm8scBGsMv5RaLC7
4Hvec9KqP9s8Y6XX8lrazkBR0+4ZmgO11or5xan664EGqt9MCk9eGqWvlGJVEAZvBg5Dj7zBYpLb
gDZoZCQf61J3pzxVHIbCysIn0Z/9yXHQ4i7W+qRw3WGexyt5mdlEhpFPN7g4ogh3FdD0Vv3R7uP8
qgBZy0xGMZIdtk6A0QpmssZcPbRd1gWaAyCVVvB6i24JmPACxf+QajG4Vwq1wx7/dUP1TRNPpgUu
87hTY335nOV4PeJ9MN3i7CEDHCRE4KWW9b1v2hfZGMZeHdzmarZjI0y1yQtI6jMfXFx5bwE7Y+Ku
069mlKHPtayqUCV35csD+7s3ezVBnAtdiZXATtgj5QmspXG/TJ6e/JBiRIr826n6l7qEfW7ivTqd
gCBsig6VHvCWNlzUKWusR9I8VdOjq3cjEG5tKu19j3nMXceMyaep7k32uJrJgslo4AJXQDMeq0ZZ
qJ4U2BngM5yfqLJqYOZ7Cw2DDuKH4SiePuJ9jWNqUic4VakTk0DT4C1BtLlaerSG0p3uZub3oVGJ
dfrc2Yb4sDCFZOAT4NmjdS2z1b1Z10Hcp27KFtXIGPe13DCg2uk9QHND3wKz1P4iuqVGISsWJH0O
88o70B2g3mOHMQUvFt1xmpwlGtjfr9dEmcMi/YUEng903j0sTymeuzqxnVEwQUZ5of8MakXubbBl
jMBTSCeUheLTE4fQhLZyRN2cW71bU4lHyujbUNyXg2u3CsD4USMdjRCxwm2ZGb07tOpilSfHzPDC
a+1kR8dN+YnCa7nqOt08Fji7rn5rqsoHIWwZzHVv3ZVLZ9x3cMI/MvEdrEZL/pCBf9KqdRuRzbX6
Dgtdy3fRmN8hIbW+VIo09vh6Yo5QNDTH+wqHIJWGqVTTPjQS92NquZXfMSH6v9k7s964rbVL/5e+
Z8B5ALq/C7LmUlVJJVmDbwhJtsnNmZszf30/VJyT2CfJ+XLXDXzAQQ4Cx1ZZIvew3rWelUzH3mtf
y1bbdjEJBR1N/lwlb33PLZpSlptS435jIXSumEg111hNyY2VfOM4bwRFp+KrQllXdmD/xCvHdTzc
8Cb9zukPrVJc9aET5zjMY8zfhn3bi3jnIM7u2VZSNCg7e5ROVYY+LL56Pzsdd4+pauiOiAjFECUo
npOJcJKqV2/jEFuBlCZ5pZkIrsazeamdWrsXkfXuYFW4lnSBfsPF0p2b1mqijeLGjRK4XNjmvdtp
JnDXnvKSL9lkVs/owWhkbkoj15aYu3Wu5orKUGe0rPHJm0etW3m5Wr1O+HReqFcx53srVHRQ9bi0
poC28vpFM6L47FatcRZxYb8NSUgzedUzTYjgS75x1Wuwudv9EBRaa209BRSXEzsENvPEvjcMpX0H
6kzmVPfye70YO9pNGdBuLeCnQVZ31gnIrDx1Zef1zGqL6LMFFP2qmq15yhLWm7oe2Oe7IVrZJixU
21bchxqlwzeFYb9yqqWAFWtBpO0Gtc4OYoCiyE8TSI4PBTq9DkU9DAFjLkOsKbAVKhegxRtncuBo
1ix2FKOn41itIlYsnJNy7uqAuWl0ztvI49upJ2z7DjZ2Jsj1dSqT/GnRk79SxdDtOHrR8k4lMDOd
Ck41EGodgrPbUUs8eTOrn0vYbj0ws3+0LTIb6ZQa59LM+2uUeN5z13BzFrmJXiLD6DorNNn5BvUV
93yM9EGbZ366tWBrms1MPdjuADO8Ni0C4m7j3MRp1heB9GprDRSjWetSf5lISh0QXkhPqFOavGSw
/J+ncPjWV52iBprW9ztNLTag29m6Biuxtmk6jZ/xZskYKiy2KEBTbv5KtrW/16rMfA5HB/6onvdh
ReWy7lJYSYBthzJkfJ5TcsRsSsoLZN/kKrTQe62aenzQzEW6QnRPkfB1ajo5hcMRBF+drdGgdTri
y7TbCGO23zvbTHaV0rXoV+jl49rqUmqStRLRODDHlmIMiOj0IYIF8IswodZbL8L0qJhJfTI7Z1ip
QF2/qLREYwttG/eJG7tsMe7pinEsUz3ipqGr0bPeDRNsy2oUeVApksloy2bxgn6U31uDm+6HkOiZ
GeFZJIdjIoKZYQGYAnC/QXeD1xxY9AC9qHQ9ZCsamPOJqp1B/9w61ZTuRnOI36gd4dKch1l/qqgf
8Gs9JESTpU4zH13O2ColldFxGlleNrhOnC9RjNc/FHZ3iBNdplvmUvMjsTGd/p0WniadLsqnorHi
W3pC3Ldy1Np7En2IjMsjyeUpHTMegoiXMIdzxytf84wEEm3qhsAMaCuyytx/xnyI/LaN8sxHto5u
iQ7MD60qlMuUjCz2jhpjmRvnTPnWdmZBnCyn3Z70rWqdqSZDxGOo2Z9qgm4vc2wYb8iMExm9RK+/
QhVN91pthyntUnX0XIwo15sUjyq8FdP8pou+X5EQyOp13gqC9rVwaEcDqNn7MknrRw2340Dd10hd
j6K6pc8mSjEX5QQw6pVmZNYXU/XVyMS7IFZ6V74/xXloNU6ddiNf8nqg7Tk0CgiGHF4qMLd19ZK3
JQ11udt2MggVYa21aBj3kq7OrZGzAqwSC/kkSDCrRH5SjeWF0Le4dEKPdrViNC64+8jYyQKeXZA5
WU8sOUlbnVoiE12okK33SGgMjDWNEp80kFpv3GOM0k9GYZp+XUz2xKMg5FlO44TQ1pLBmuTwrKvq
fa+09UPe10CWO7w/F8gOannbp2O862fdeiX66/BLU9aeRaSP+9oaYI+NevPc1UbzbYxUN18pQ+ne
lyqprdlMwNIPGTsR7Pl4D6kyxkXruPExIpyWbjgIK6eoxNe86Sql2McoTIwMjPiT7G39MBVGKw8p
HIoEJBsgQz+iNuUMQFpeHJdYQwZMHGZBPvokAZq9Q7vZC1id8V5y3BpXGvHjPVclO9poo5Ht8eDn
ckPLeb6aO55Oso9T6VxqjfnLihiBGsz0723VejBe+6mQe4gE5VnVUlpSPAcQvinNAWKyWXECixEn
KUWrlfFWkfC3RWYN7w5F11+iKlOwbCVuTk0ixl1OrKwTr1xne8JLRetQogQ+vy8UHQHCGhyORcn0
GA1Jpvl8i+mJ8Txa1enri2F95H3K8bfmxZ6CqJ+NleK49T6Zu/bBtLJEgwkxomyrmQFhOyLNT+Oc
WZ9chaIxhnhLfrwbn6vSCNNLruQ2z7Bc1s1KqJOxYj03wDYwsroFTskpoOcmLLZjbU6cL5xyhnvB
qQgjjF6ucW8PPMyZR+lS3Ubvs5yNY+O6qbomZjITMswjagNzJo9HfFe16hsD/ODDkPVKtAd6I+M1
2dHpc+VxbFNpcPw01l791UoHlyoXr3iyrDR+9Iq+m/xeV4ftoCpLESKCqm2P3X4qYjeYSV1+S7Vh
4kaMbZLwa15kY1A3br+atLDBamgpW7akesWMgXucymUs1x2u+RFiCgYxx3o38covub7Kepg9Deef
ziUy8uyDg69hM2UMkkCCzPc06KjnDHVmpStp6XthM4JSH5Py2the+F7OFX55S9b3mTpO7NlN023o
M1K4L7aGuM6IUgzK4+zJ9JT+nMH8figrp8APNhOD4nutXoSDw84rqvDUZKp16HnhH6aWo79UsmkX
OSOEKTEW30rXKS6WLq0HHntOwol50FC196MWts9R25vH3NbmozNrOEgto9vjzofD0BrFVk9rv3Gs
e87k8g7bdn0EtID/pzPKXWoL+0XlJ/cWGgkk5l61Nr0w5SqctfSm6gpx2zhTgExl+viY88gfdHSG
JtSjb64Zfwox/e1Mq1rnMjNw2VFQWHLPXE+GJW9gEbx4PXySOm2GrRdTlsfIiNS+jd8I2fzJY8FC
Xq6GvdWId81hMoBaAWxNJtTdGGBDLL076DGFwKBXs2PoJrC1i1gEkTZmn3EDF6fZrDOfaiDJh8ya
HQaWdscMFyBvCwuav0+zcYRprPAheiWb599f4/7NFaFadMWqjONNulU0zf5puKqw/BYDC8le74XO
sXM5pblGGZ2roTCHwOIRmgKcCJpfQZvepFPn7AHLhf8x8fZvg2585jb2rkVb5f+ofvlxOCO7kEAp
hOv9JO1t0jftG9L4ABuoN73m4rqFZt+mKnH5NSCU4dpPJfc/iBMt49me9zs2+8dhBPn41E+6jDZ5
4qGfGbGV16+2hSN4ZTaK9USHU3bLUJ3vPAUpz24NDdj4EOTyodfenGIsikDn1viE/AGHum2Ne70f
lHcZhxy8Ozf65KhGt3RBROK5FcYShutNilYEogDAhSdXRjwoIh7vAM0nUFyI/qynWU2PoAfkyphK
g4OEEV0GYrdBi13p6jj5dMRbbJy6LGI7LKxsY4zZs26U6h2dfgeHmqVAX0RLZ5Evqw8lk2QIK6SC
3zteI7la1+pD9ow+JFDMXuq36kMY1aks/EIYyb0drVRe52jWnjAS1pTNAqJB/loO7GNrdfDFIldA
Mc6oYY0NntPs43SvfZz0vY9TP8B5bgCiT6d3q5CsnUzALpSOcU/Q2tLYhUQD/JaspI6VbLlOoCbZ
r1gYMt+iE3KvhPonBiTdvhplhCseJTSdaddUEq9c/ArcWfAicH1xl5tMvtxpCNnzr8s9B9xoG6/d
mf05KSfYHdrAjWi5G7nLLSkGJruSVU6pVy3RKBdFNGA1Ud6yj0vWuNy3QBnbb95yB9OX29ikIG/X
UCqokyNZTgDMi/X53raa9MXSs+oVrjWNQAU8ohGSa803ySoz69zO3C+3A0h83IJeXT3LsLKLL0ps
d2IdW130rTWILd3+/fuq/1ssA7kFYiHxQJ35BOXhP3m3usJOepgV3V5w1jpVyhgBr6EtqJFGui+W
QrLalfkQhF0ZrkdJQ3pWhjfxWJJZVeyBBGwb1ahps7LUAilF5Rd5Oly59ZTFykQnfWZkXVH1KIz6
3hzAPFQ6RPdoEgOp3PGC0fAykJUGJTBo/Y1GoK5loDCG7/g+jQ1gSXtvx3V6B2ltRNK36aGwtfvK
iLEyhrcg6ghnhxGGDCPcaGp0zztunEkJn7iYEc9WTLVnxVPhHKPXdWzZtWvvYlFbMDdsDqjsHequ
r5zs1qbf6pbMBl6+0rSiB6xnxTYCu7MGZE1/NMj/Ae0NJtaZxaW+dWUDkIWTTEsTQwVZhnXVoyRu
zNLDXKt5HXQaRAcu4FXxxekabBup23GQtNpb3etpMYjovSuNpF+8RdnKI51KRW7mhC8xU4WXkVqn
Ihgo5d2EbRpvBTH9lF3XdJhZJC31IFO0K1yLV86kGYm/nyTUMOVJ/yUPPVpR6NcLt9yEC7EaG29a
jJ6YDH2n672drcrwjiZHCg/h/uC7jMQ6DAvlOqKMoBQI8PHC6g9ZgjNCV4V2RlqceSo5dGaJNx4x
ySqfPVhwa/64lvmwW1xTkbg6Om9Vf1KnkDeAmKlPRTKaGZOceGN3HVvabPWbiaTZS69r4kGJG/2x
TjA/kr9V46Dsa5amcUju5qZdOg9M42ixSgWm47RrqjYq0iAATJxYSz4VakMgJo09XO/ES5f6OdWk
ua21wxsiUurWdmKV99pLjJsqL+89bwBvkyFQ2B87EeYu885WZEQN5JjlyDtqF/q0uLXubZGGwAKr
ZYikfcyTtHbs5iD8mDOpy8hJourOzLSXSVTYZEylPEHz99ou9DftY2rlMb/SPyZZDVaXDQNoh37V
ZdJVQKmnrUYMC8KB1btYsbpVLxHqntgZ2JYiiusqTV0v+9gXs6Noj9u37tYcBJi2JctA26/kyD+5
GRj2CWqd3Ev6NdfDYGl7XFUt5+ra5HLdUezY+bCp0mSXuHbD/BsBw1pJoZVHozM4T9Qfmu64yLsw
7p9rt8La20bU7opnMOW8IHrCZMgRhzqccfD3nrOptLJbPjWYFyalxzFmRNQopbWr0ql5/fuFyvp5
duloHCxYpEyIuBjXltnmH6wWKso8fZGcK7wIeIR3qVN5U/V3H1/kH824T+Jd0jnwrf3fP0ysP2qg
/tWd9V8PZc7/fv5PfvgdNEV9/8ILKPiHf1nTBNtOd91XOV2/Nl3W/lYytfyX/91f/I4efpgq0MOv
X3JRrAT0M/He/jyidoyl4uqvZ9yr1y/y9Vdq8WsEs3j32n/NxJ//Kb8Ouh3jF93A08PJysF/ii3z
t0G3o//iaSZ2GMPhJMh2wgj8t94t9Rd8soROLcPSLFvnR9yUDAL/z//S1V9UA3e2SukWs278KP9k
0P2TD4hpOqRGh3Sryidh3vXTwS9JWppWwixcD+jJSTJubTPeaI0O0tHc/uH79CdTi5/pyPzdSaAu
np7FTblYcX98LKOcjieiCyG0yXIDtuI65fWuSZ1NgQ9p9uoX6G5BOzx5xkZx5kuUz2oQG88cynxd
jMcxqzYsFrv/8Kl+ell+/VSGvrwwfLwPh8MfX5awEqWHIz9cV/Tmtmm9zyhRDAbd2WgcJWfUQkfJ
A1tizYK4xOV/NYUmBLQIOm0bmHr163v1l6ZT5JEfX9/lE7k67QsWe7MJ7vqnU0YeO5UCaS5cN3MX
bzkA7LEsmVcmi+FljFGDK0vJLlXWw8Qa7ZnoHonodraAJae9uVgOPiuysO7CVstYsdzwaJpiz91x
U4HRWhnF8NkZ37OpWPUcH+yyONkU+YD+H9EZJmrBdDqTKHpYG40aYHbyG4g6dTmv6JgMiEScVOpO
0Rk2lVmskozjN+JnF4uDrVwHvbzOYb7SufeaNWkud8Iq1RGSg8en6ofIZpOty5vG1nfcvv1aPjOW
3CuA6ef+TSmODCHZoQfjUE1+ppu71Hvsu/6p71LwmROpwmp09mb7CLoVBBfCe19uDcCUeZNx9I3u
ZrY1JzlnrhXgag5ca4LlQs1oDLvSpC4nzG4mC/tuXxwMw9mMjbGzsVNgsWo3deJOm6USDUPwitwN
lkGmtKY89bG9wQU2os66Jl8zGwDn9xujLpmFPNmud8BUEDgFumFmYYFC7xX9hlsnTr5yJ5shiLKG
bw9fxjNXVT1cS2lhwmD3VIxd19q5Pw89Pj+SyIlcaTXEs4te1DcFoqsQbjAwbVRV71CZvJm9u1YT
JrHiPh3KnSLPDDk2XItfe7gcpvlGC9znpnln5ofDpMYs4l0aTMTedCtksXMhHuaus0H8CqKw6c6w
wqt70YafI1oBTjgezJVDMkapkuEK4Yj+8YhHS29D75bBSvkeGfSC+hUFZAGH1SRGE8++Nggsd/oc
la+eIZylBX15aULbR0WP985g3jtap3+yU72ncC2i1bdf8AKGF20Z8iHNYnKJHvMqLaCPGqGPu4HJ
OZg8ZNyQoeO9y+13o9mNs2olypNfDHhn+BT2+GrJKdsVVt7B1ar76BT3lbhhp75YsrHv5Nw711bP
vxd1/KP97893th+o/f+9LXL7tVyw+M3/H5skj/+SSP/rTfL0Woiqkz/tit9/23f7l/kLKAyVhBFJ
WY4rS470u/2LXRF+NYR6+DOYYR1W7N92ResXGAakk9BLMKVzxPl9WzR+AZkC30Bl31xCJvY/2RYh
cvy4CGPBtfgyRN88y1I1zO8/blZW3SAxMz/dJVLkO1raqKMU3sFsZ465bUQmnVnGQ8psegsV0Qqi
eB4/5U2LSUMTT/Tj1SeldudrFObj0dGH/tr0Jmi1nBdy1mJfG0yMSWOpbjA7RbUfy/DR1N38RDJt
T00qCWnk1yNEzKsCD5KVYozfLCWdMbUkiCR9dpu4ZN58GgtT5huUoTFq70y2TuFhoLTs/sGjcykY
wzZkdZmqk0zMMV5Z9USZD719REjDhNbY1NkphWdaO6/xxnu8PvGzqKqv2DwKZxURSMJeK5LPQk/e
cDSoO6YB56SgHiSNs/Q4cAddNYYJes6cvqlKASSoK2piHFyyGiSGa8KkhC3C2k1UZPtDvphehEVl
rBxwHtcCvmgsnvsxsf0EC04GkG7h/zVDjYRn7FUohY8JPRFwzLpoI3FtBQ2PSOoPbV5d1SH5MliN
iZoREsiIJ5w0mjo0DL3Uz7k2YqWBDtaDycUiAJcluu+HEerUoNz3nZPd9ZmtbLPBCotVZYbqHaq6
W/lmNMQZFi8NyJLG8tLAcIQLRAtmis8ko6p0J1pOraFO7KGtzRw7DuvtCvAjG1tWYWHayznLjtWY
tckmnPUUKiZ0svA4Q4HvN7GreMe+bLqnVpchpOTabuKtNxGiqVvCy37szbW96i3iF8woaHqDZMsA
E56Bqb7btTFSTTgWPRe5xgGb7tRoKD24P9QuZfJIP+BJ8HNuNDDyMDr2/jDMHh5BGHnPbWPL04xQ
zFSuTKJFEQ3NSww2QFu1g4IdqKUjRlSMHeF09xdqzRrtbkoxTgRe0kDbU02HPvHB1EAQeFIbhmsi
nRC7wMTQ9cATZnChdqNoXjVOrcPCG1ChK5EfHToXonU7VbLaErxo+JkzvD20TVp7/qBJa1hMGXf4
7vcMB6BEEiXFn5auW7XNVz1yqk91QLQ2jTPu9uescW7HZKHjCVUPGiF3cWtScinVUwY4dFEhrrDp
3sLKvEe9WU+aOZ2FZ+ysHLjf0NU3SQT8My2RTeBI9AgyS9Sc4oSglSU/Mn0g3pXTGB2pqXErJkP5
yuO8KoEVeb16q7d4xovRvVNVvBvlMPqcYdWNl+vVir/qN2O+y9t+1bj8Hkgaz7miJ3eNqu4xlonV
IGVKMYNjBnqT2KsyVb6YIkuhaSmhbyvNrWtPq4ZMmV8P6HW95Ua7DPGDfTN+yI0+ZtztJP6QGYz4
8CL4ts0Q15twv2h52QQT/i78PaXyappYP2rKJwsqOGekGR8RZ9FDVI5gpbFymD7XAaJtiZeoKE+q
SOzP3hTdQ00UK4HJZjuEwMD7LtmkZuauNMNpAwQK5302Z2rmtGmtuWNzo+sJc8XQpa8+C/e95dyz
9J2AB0e+UU86MzmADsiOU5JlGxO7xrb25Dav3G7LufhLxnCFM+30NUrDixEP2INm0mxm4z4oc699
HVo3fevm6Nsfdqc/uZroH5i83w1VrkmB1xKcoznKIJrp/NzPV1Qj5jHYuDslgtkQ52RQvDljuBuN
lXWJS5u3RJk7hhUWA4mTWo7imVAMpqmx7zk+Mx2LWScJv9qcqDkqJXrVLVpYKieeS+GCB9ZSyKuL
ePtYykJ7x4/J+6zJgeAN5d5O7Wf5LO3VRPqBGvJK9odUi7kBxBGiy15qFosFw55jPyU9ubqP1UT5
WFnqj1WmWRYcFOBYwVI6OfqO95JJtQSN63cqxgy8dsmVJt3JwXWpOntZ1yxTgx2962EFBbKNqH+1
u5uMUdiABWjT0STFlLi/wW85HC21OOpJGh+NMEnWuEPGAC9MDJI+8gK9YC6PmeZKwz1uBZazG5qQ
lzJWyii8voUeXQpmkmO4ZbCtH1Dx268avYhMbCMKaw0CEOu0qQl8NylpCqYQpdcF9ixoJgln3hZb
TSRPNxfpMgCjkaT3Ymq04TihhwVZMlh+DHSbKBfGfm4olB17UfEY1958y0EUip6an0UpkyOVm+Yt
rgDGjm4YFS8sCkzEa2feWKDIyTsSducHWicXfCbulwhxnnB7ciezUj/YKtpCGeWJdiIsn55zTzhY
EWSrJkEGsVTc5K5uH+NRcS5YT5St08fmuxv2ypZUSHuLKyn0SyeK3sNa8LYy2+8+TxarV+/2+oWz
rnonSHXg99bezCykMXJs8jXYrRoeVk7z3eJsELhDsxw2hVZDHB4aiU6p9Ec3gkdij5JcPVPmgGu8
kJrr1+10U7XWcxzNFGxpyRPWNYg5qUBQxSu0xnrV+3qlPeReW8I0HHcYZUFwZbB4RuNLpGrDxq6V
d+CXRewXprat4vZgEO9GVrzJdO3Y5OFTGNGKXMd7xLY3oWGZLL2z2vd4xLrO2oxz92WpvT+T6Pla
mpEH2rUyV/QpyQ1FuO4O/M8rTqDmEC83lMZO4y8TCuSht93mLi/1aY+7esbZgNia5ykhj75557DI
ldQyvvTmUj6RSzsgYUlLgibE0cTJM2PU2FKJrJ2L2jsl1GEG1Afr66JQJvAnWrmBahYGddcUIODl
HNhVx8ChzwjzsFrBil23LkXMJLPKqmlPc0V57DRP09YxqybIR/0eLv94yjRNEFPR6e/RJvoNGg3O
7ehod1QxNGSPojVqt9gzV8yCaKAkANwq+iCFk/pAxXNmfgWsj/zZadU32JvAi+DCb8xuLrnZYmgx
qDZf68KKVomR0jc8jMvEtdMnhG+HrKw9TvqTM3Vt5fcyV5+FJdpHUNoqgCuRJN8Yg2ILyUMQa0lH
NR3BGHoOt4rs4mhd1jI/hsseLZfdOv3YuKuPTRxsJxu6gedW7NyPjb7/2PTnjwPAYvwj1vxxMDA/
Dgn2cl6Il5PDxwr9P7et/yxJcm1agsd/fdta/atIDVfIv9+5lt/8XYlc9Ebwi0sqlavSB7Dq1zuX
o/4C4+IPIiXXnd/uXOov/ApYCKQx4Ajwe3+/cyFS4nojqIOyh4cWG/Jv4uz3TRdd9y+FL2+RpX/f
g/lMrmuYOnswWzHVUipf6I9KHBhn4DyFZgKiE986xz470tpWtveQhFWKg5jkxQTnpFfCB0xE9NbY
L46Mtp33OR4QjTQlOobx/Jh29hY61UajwCK5Acd0aOlTG51sHYX9CYrtY61jN1g2u9naJrPcqVVQ
xkgnWXXUZGB37gYH8TqBLJglcodHYJ/axp0trbNlG9uhNu/MUINt4i+oyjGKN1PlwTeq712lup9H
4Kg2zruYpRTbdNa+zdn9FBEByDGLjvbGMYeTU7m4LPIbrTLPhTk+Vgb8i7a4JeO0pjiaxZ2TMbLW
pIcPM8DhlRuaD40dUeecXPLQZDAVeznqk1yqLnufS9ZdGzk7o2qwtVj951Z6sH3lc2LyLYtUkw4D
e89IbM197Z1h4aqu8huTtoA/PHl/cpL6eUT66w9xGZNiIuD6/PO9eSKb3sSqYoJOrVfY9j74NNFQ
X6xpujgSAE8cp0E6O2sFDHTPT+bvP8DPifUPRVsFTGQD8Vgy0T/lTCkacvGFUSbHysRQSNy4ndyM
Kg6pfrKYd8f6xQxTe9uF821Sz499IYwbNHhln9uwHB3/64R5bDOj+ELvN8TG0cJ8HZbzzZjJHVbW
NLBdrndqiyEIniDjyCxfbTFyMFuTgN8Ada4HcHnA+m2/LENrF3rGsR4J/2CnZ0bV6O8T7iaf6NFd
RwHm3BAZ5d17Mmr9GDrjyU3ox8T4eCjrKvq12fcfLaT/PU3qL/+r5Wv9a7rz/8zkZlkm/3ZyE8SU
SwpmNvGfrJH8zu9rpP3LR52qSWMfN0h7AeB8XyMpi2TmT/CCUQF86N9lKYMlktof1kGmCAs6mdXz
+7SGX0LB0oCHQuPQbBXyyk9L4t8tkdoi/f9xiVywiMuZxuNTUIz3M6y1i20nV/Nk2tqDrD/l0Fye
a4dsnquHJBATT44v5E/ewlSTX11pFJ+HJfll93Hcrc1moDK5L+XasRTvWWp9eejzKlpprsi+WFnU
Pf3Pnv0xjPxPe7atLZnWhRv+15v2w1e6TqPX4vWHh/H33/nr0+hqv5A/tZdpGX/ex7Dvt6fRYaqI
OZWmNzb0XyeE33dszWObR0DlcbSWbmCXJfD746hZqKSMFZdbElqJRUHyP3gc+RN/eh5taBMaWB8G
zgRvkWt/3LJFShELKa5o06jt1Wbf3lHxrAclE4MNTSbDVyYqdDMwf9x1ZY6ZbcyaDdMUhi5zbmy8
Mino/gDERGORNlh3DbO3jUajzh75JfcRGMezE0KjMNzIwb7klZvWDa0vUg/LzZyNCYmJsWrfGhGS
Eky4kZFiGoX9bFta/NhWRXNa+hUkafZWhGSCVPfowIzbi2FoocdFlpftgBAtU5JBImiYOGatYniH
+yLXU+Ee3XTon20CA4FVAqshZkrVGVuJY+6k7YoNFrYqhcgCy5pia0wWOReDoKhtzNx6Nnr0a5iu
UgSFF+UXhqpmSXWAVhWrWPGsUxe6otiOvPGf8HP1L6SlZzYOR7QAkZKQNjExZsQdiTVAOrZxTKVy
YG6ijOSRWtjDlzbL+kemfXQ5p1KoR+yh3GSG6axNWr8TWjO8l2qef1aMrMHKmTXNpU1HJV4NRdYH
U6ZZj6E6GDctAZeHOHXUhaOTxr4NG5K8az/c9dyR19KIoi/uRI6Fxrpx+eCZsWFasyUGQ3Vc6cpd
2VGTpWaCQmZ+zMWb3VXWnrOAKf0edY4PCbTXh8hWQrdJtIueYwQMUmeC84oKiZNfISIWWbbYot+U
ZHc0uTdjAGp9MxxKp1G5HuloW2iz124Uij8kUa8x85mLm5x0F1SHbh5eqbNNDsPkkO217roEJc2t
lC3inrmOMsdBEPFW/diUq1TV+pWH5LJjwiseq6ZsV/Oo1Mcl0ntVFIcBlzvWF1hh0bbktk1FwWBc
Yg/XcuYm0c7ucpXZahnudaWpQZKk6ud6nudDbEbhLY0hyWlKeFBlOThvbUprm2pAR0hLnR4dmhQJ
BAWDhw8xTDqYo+mIeciT1Sdc9+Em6lzzVWjddBSqxANmyHJjk7gyHNk8qSqBgFjg2HZGZrZ1/9jQ
7BL5RddSrM5sRdzn47CTY3Jb6VpAv+3BrjaRQ+o0LQBLdrDY/bqrup1VtER4VV2H7FA1kXjgPXBO
Dc1yVzR7u9ip7UgkM1bC54bK1gezTah0Ih1tuFv+I8EkcDSw9gqZTfd6rda7lGfqTHscIAkMnCGw
Xk/sc4/Ur5+XNvjPxDXPRKOMnSZrMElTTqQsdAYoyz0jfjnk6FXTGDZvapYjX3ed6z04BWnkhKQz
P37cWKAxLXu6RQqJ78w6tVcOmCRtaY+MbquxjvQVKQ5xHV13qmAVxznXb7t/qURSnYUwh8Ok0qsC
iIaI4GD0M38SCi0Tde3q6bWzc+eaYE5YWf2D6436py53hp3NyPHNy0SOyVov5Y76N/ON51t8o4zB
AJNraeAmi0mPXzWkvSyoGagXxH8d55KYdbGe1Fy30NNyg6BWmdTbIapJsedWGG+rLi0u6HPGQw+h
8BBKS79P88a44Vak8yHzwr6NRacxWrdrjfxXG5nbjonIZR4S7a6XEcbdQbQ3wMjy94RHmJ9qaOiP
Tdm0N4yRjHWoUYzCEE2AZ8rcc1Hkc+xncqIGxTFClfrCStt59RAdLa1PcBemKadZnI7UuSma9qBY
Njkzx84U5s+ac3bSNr/DcKteTX3UyQXgcI4P1Tw45Klz1Qi6apLvw1zOgQpYLXDUKqkDadXLFeuQ
1JPFO5/A4vG9sZckaAC/iXyo6a8Ubnww1CzeDV5xRvdrFa53lrKqDIAhsddqu9HV8js7IQ1v8eKu
EffEVvIPnxRNcd/0xoQRVjALEt6lT0R0IjPkvqeGJ05DFKYbTS/nQy2pnYzsXN85raW+pXOdnvqe
2VRShO02zi3n/1J3XsuRG92WfhXFuZirgw54EyfORAzKF13Rk32DKDp4l0DCPf18aKNpSq3f8Z+J
Hl6p1RJYhUJl7tx7rW+d4J/jM9RD+zTwkJ9nMpEL1qKCAPsxmRalJfuVk+dPWpOVK8KDBHq0wr5H
0LC2XXmf2DTR+OpHOy2FH1Tr0RLZd/dilvErAx1nZTfKuMCTS8hMqeCTNup9rGCOtqRl7hglXuiK
6SytwFbg3BbOdgQktwuVYK+GwuJ8YQ/qqsU28jCb5TC9IVq51AMTQ3MYKtVKIBiYiuxmyp1hnVud
uy4j7JQQH3ZZ1WpLctueEqXrsz1kIgZJlSfxDIezW0WV07BuA7O7QuSZnNEgr5DAVO2cXXACNf+z
HKot9ntmJs2U+s3QyEUOD+HcLfVTjBcTJtvIVfE0CS9iWueVJgYvmZxAAmBu2VQTfqjBCjIILCr/
KPESbmgx7gVawmQR4KEel1OEEIoKtcVEE5d9te1EdszHLN/bmS0fjawiQyaIxvgsGdtuU0Qa+tqC
wN0r0sfEZqp7N8N341IndAOMsChM8zVt1JC5CpPcSSrGK+7ILl6xxTNmMgH3UcwoYQawSsYzRKFh
H4j1pkQtqjdFs5iyxH4uGN1dOHbbX8Rp1BDpxhHd6dnEPE+OxKLqZ2XpXvC2oGGiuE5u0NLUxgIG
DjMNLeiHuyCIXjwe98fJsnEst2cEJco1HfDkyIJYX8U2Mk0sxTmE36EZeFNlTROExkfSxdOjgpB4
FTrZsE8M8YVZPMFn71v6m56gv+Cm1lOjp6g6+MV+qLXDClwgx/FccdbCqMRt6XTFlvjZFUM0xCki
l4cqCcK71MqrTT7DjgzVyR76zqzWOjrUwnezAiZJ1oZi2xeoRhgiiQqyd9GpvoXj/sAe0G9klnbn
ruVOe52C7C4mE3I/NMqwr3U3XBJ6y/QrJ1nJrhwLLX4BXNnVYyZGgntlee30rNeWunWx3C8NawrW
TY6qg5Yu7s7I2uD6vx1t5uCthT/XAlJUGWKpg2F0VCYpLhp5bIO5XMlevBpAZqlOeBTTwV7pKlNr
FuJl3vaMqW1lCS7kUjFqY1/ii96l1Qi8Ng/KI4OEatHAvFhYTT6H0BXqusLDzA6jc84SrnuJ32oW
U9c9EMMmOCt6LfHjMdDXFUyYZTdjp2JDPw87eYJb7E3TmijGAB6ow4LOnPUiScU1J4u0N51S69xL
S3Nd0Cg5acnB2MDm8tWmZ1dhvNrdtAQx3o6mzBjFD92614ZzNYzo+ntAj9XIhlfbDWS49jNZKsBe
j2maWEmWsmhhGMMj/xPYQgS4TwIB/ypI1GRNiHpxqlapcc/9nmfetixSAOsxYtUoNVdWqOIUJ7Jx
7wSOgxWEvRxovIprF0MYETrZOUSR4BLho3uaE7Z4SjROyuS6Sq0D31DozFUViVPOITkxXbr1OqlD
CF40KC4Q52rneB7svRSZ9eph7ziz5wDuuI/ia4PBFNMm2+wZJBXxo6Ll7RnLZrarp7RfNrXzHKKj
3jpFkpETnMjzlobio2nO2dZJURTIrxJk9KORVGcV8FEq/9iId2WOy4opUTWyerQQT6ahWGccnbae
cOydYjnjFaOtZoKmJfdl7ED/xFu2NwZmdr3RFBcD4ojSdoIDGOr0sVfdems4VbzECo0KjRocUh6R
mLGtYWoaIFBEGsQRJ2GnA+iLaMzQVnB0jKX0bLLfCJO6VznKcJvd/KKWLHjUj+VDhElzlouney1k
xo+OyTx1tbZyCDeVsvKhIUeXoZ4pi1zaEvzuNDwHY0ZnKmbfC1yd3zw23bpx2McH5uUnYF9v7bYL
710loMrMbXUpKYiECHdTmJL90sIVz7PjACj0wI46MGen5F2qlmz8VFVwOWJS45jVIk7vn2ME1Mid
q3yfCHyDHQPJHUJWbe+ARVphkVaXQ54GxGS7kDwqFsg6S3ZO9tJ3qvcSYmbZQfYlfTgeVV/tM/E8
KtF4knU28995Bg76o1Q2QU40JO28cl1MPbfP7M0LxXLHzRSl4tDLoiCpoKyeVB6Yc5lq3S7RW6wF
OnxNjj6UE8SOb1tnbM9yD7n8EMbjdRBAEWnUJDummjfxVio08MUUPXMY0xlZC6KzA8X0EerXt4oy
9VdpNzkVDlhDeyycUvmcQzZbI1yp4FCQawwgJoM4jjGGQ0/ragdBj3URkKzQuGmZLzqQI2uXri5U
kx5sIic5AvWqhs/LQm3wMBYDSI28tzelUhDMEsgzQ4kWNrM8Bx+Ub0ubOXjsviGYB2nunQ4FHgIi
PhdDVwBzi3UQQb26T20sQbmTvzId2pJJduNKl8toXXyI2RKZ5xXjtnGdcD2aot4RBNruiD9vceCU
3ZHxulh5TmDfKSijTsuxDJ4VaqZ5fgekqROWh2IjNGHYdc6ZMWXVqd2a+SNuA0ltZFm7UqWklYai
sAuOA7lomR6rW2+yBkF6hDKc1kXBEs/Y09voeMN85vt1TKlfuusAiuSzCrfAJELRQnOfBc5nNKg2
tiTVTe8qSqRVRdbcedtP2QPmj3gzfvH2ge0+2kVEhA7JAdohkyPhNQx3L0NFYYJuTcOlgpgIHmCf
ElLoOfoqgOa7m+hUXHm5J47hGJAlKPrqoWJ/Y4nHGumMZg4lphdnbqurkhFqZa9kS3SdHtTlZWu1
ZDPJshOv6hR2N0phgyVC4dWc2VZpQ0kApOBDxHcfs8aoN06jv8VpgX4sgqvrj2NsHNwQ3zDajfiO
haNdANiV0bJSLEngLrgFEej6WhnH/EFaKZXrhOmm4OvuR21WngcCCAYQFsQgUzONyzIq0K2aud4c
UqetLiiusUEaYTluRaLPMZNsolcQS4Tnx5GVIUDJCQLVJnGdVNSwPiVcvsUkby49TjGneqiFizor
mltbBQZUIrpZjE0a3pmJG28CQTgaAoku2fWFrftW00/7nPJsX9dT/4DXGPEZVejl7OFgzJIYd7k+
xHuv05KnEEvNaRz007k1WRVyqkoNAUkxUC8anNqRxtDASjJrp1bdUEM3nPRyATfQOnYm+D7fSw31
iGE1rWkeTMO9iUWcXkviNTQemHjCDCVd8kSZQHUZpctptw6UCRNNWp2xj1eP0RBUd50DaWKqTA4G
bksQuKuXF2gV3VvbSZ29S7aLr8nOgsuu5+do5iixklml5JNE2T1oTmsvLTWJLgJz0Dei0SaoVH1q
P05aoFA0qESEVm52oqQWVWeMK99XpFmvnDpIDgmDHD5a91j1dECiRNlMNK3WmKW4SOJpCx1Weqcb
CGhdVte0V1Jy4Obeg5bzKWmtpy2x+Oa3RqYyJEgb2a1QCttPisn5YpgSyiUvteHYOEqNNM3QKvS/
cVgseNeUt4o9XMdBkp3FpsWL1YdiYQ0mw4//t/3fX3DOwCSWkAdMHDqDT5oiSMT/VpP39PhyTN+N
G356gW+9XqapTFkR/RMmNJs/flfE4hOhzaoygEWGCarwh8mD80lFrGSphkly0let7PfJg46DxHHp
eDKSwNvAoOyfaPVSn79r9SpodB2Tud6XedsPZiIza8tUS1uyvHsnX0tePJPJiu1l4VasKb7hFVjH
lcJl6RfNXm0tZ1/i4YV3aLfJeV9NaNcLF5TSkraguLOUAOSP5453VZJ75oLSp6DrQwZaRvVXe1d5
lTSXTqqaA7Dt3J0FfxMgDr/iQAu2vtMwRsAyRno/A2WfkM0o1a4rS/OsoSm/x+PYH7tgLJ6oYi2k
aWZS0b0rBBp7K56Nfl1jq9t+tO3PYkzJBzNKbxg3o9rypdVpp9a7plT4FtdjZCZLiWCm3uMEiy8H
Tiwkv06ivrEcNOmSgDcQtRJxJmJ0+1Ef0/wwDNqosDPr7DYiQZK11sEGzor4SH2sSWqlpDcUvLFe
2jpXQxF3Jcud0T0nFmckL8kx56ORvLLmcMDajfVr3UrkPepT65ATvHfl5Ewvldb0tgysp02nDgW9
E4rS047xNPIx4L0GTVoaRb3irnGJABUPdRk9k8vD56hkTeStMt3u8IGm/XRSKbbx1nOAuFaJpH/F
ZZeT1B1W9SPiMvOCAy2j96hJONLkgDluHXOGh0iZt4eo8tTzEd9QTw+Hcbov4dVt0iwOB0bSXX8L
NVm5q704QuHfO+otZCdSFTy7HtNVDCcQiWOkP2ElrjdigoGl6QD4/EENmwMdr3nnYU92VnkVeCco
X9pTFEgC77SBk8FJ6hgmbY6C0E+1ov2cm6kilpYpm9cwD4Ybqyt7djZOHJrvtoq7cALpnpWVIFEz
LIssW7aeqW/SOmm8C8uTEF3aMSk4oHkdKtJRyUq6ReRMIwcj8t1cJaA3jDV0KecVqm5gLqOsBiZc
JUU1rWyw0NpC8XLYSa0lqs9wjqIHYFilb+dgGC5yMIsIdisYYdyMLO9pvjqyXXBjB0n4UQ6VUXaA
wRZI7ophGVtjdGVpcLK4+3b4QDcweONgA4BMZHrwmgZ2u3WTWmrPmIFUxiWCYg8aTMDhkd/VEmIt
aLcfOiRap9KLCg5wWcZJu+8bQEXRsFIEmIalGuf8udEb5VRT4jJddRJRhVlOU3Joo86WvjmAAUv6
Mb+F3mG+YA6OHwc0mq4vvMCplkUM7U9T8XElqpKaC1Mr+l0VOQSzRQmZFCQl2zYkjKLO3IVapi3K
by+U69HjWEHe/Oi+ep2wMbc0HuwbJ7OApQ2tc4nDtNkhsGxgtuRyuCaapHnyhNXcJ/Dvzs1hQrUn
mxaZVDQQMFYJr7tUFLO574Vl+eiJy5Np0mp8rA7o8QHWKJ6ULuhIQvM4AiplNMeXgAFZKXkZxj6b
Z3U/5k16UmipFa3IzcBunQAf2cFnGKBnBAYafJ7K3s/Uvow4T3YWJyDHppdXds/IRqlatEQ6hBuP
U3uWpdl4ZXtTRO8tKKtglVnjsKlDxdqApFJ3TpX2dBj5GB+Fl04vIIJCehWtOp6pMO3PpBOFZx7E
/MjXidO56vMqvu46ReY+5yVtp/aEEJpNIK5imFoXTajbcE/7Aph1KYuHsoycVTf17Pso5G9a+Dzx
go79tE7SPoP55FUxIZyqLBaT6Safi7gvL5JMWKumDmc38DDsZCCml7mkdQm8jEoN3TEVIbbgkc8e
ZxaQTLMPq0f8fSkcnVDv9/AfDNBegyNgFqntLZ8OkwoV7eWFkSPP7zJwOnsF4lTj925jeJuSXvAy
iBUJa64x+opnNSmfMlxyN63JMdevVemRkdnXyWetNKsHq+5pU9a1AMCqS7O11qY96ZiiSXAt/NaB
oLXRK7W6axLUole6W3Isa0eDRQdBTL00FBxpJ1Eyqj3eX6lNK+ZuyuDbFUgsMq97w9wJFaAfcTeV
OAunGN8Tja8xXUL99M5F7WRPQxRGb5EiymXVqExPdNFw/MkMthsnQ6WYUPBFCwSXzioYNUYtIbo/
2qZ07sktqoe92dVD5BuIgfey7+wJ7EeWo0ctWwhCic4pUgsbxN9uMBx6SJVQ90cl3XRgOXdaG8hl
h2POXIDvsIY1IMvk1BD0yhd62Room4xo0w0XQg6o4SO8vLjomm46HROs4TLPcfuptYm5pbbz5Mmp
02IFD+ikHzjg+0mG1BpSYldfVvS8743M7QEFUnGAJGgt4Gqp2s1IQUh5YeuUe742Vnmfp0hyfbNt
to7tbtoGZjezvOwxc4V3gteN+gG1P0yYwsv2kdHDEtUSQXM9bgJL9Vl2CtYhSDxCuzLc4VLXSs93
1W56ydgN2Kjj9iaj4XpCQNywGPPAXZhF015xcO7eTDafDTAlY8/E5+iI3p6RTdl26hHJ623T3BqD
ZcDXtQDhRlkGltcFgVfHXtAtyqzzDlLTjHWa9RKLCl6QPZAcjoJjLNHxMEEBdBoLIMRxMpxORt2e
EoSmonAO0rPMYiFfJXD6Kl8bOHstTFdTMJPbGjCxqFO0TZOMXkKcW53uprgpr3B3ZnBFGcDCU0tO
YJOZJzKS2PYwWDUPwNq8ZWMV7jP5IvAx7MKsL8w8c6+gTTjbpG1JdzCrgCnboOgvHg8M5nqtuKwT
+hI13EdzlaehuVWttrpVC9RGveTjL706esgZ9+Z+rxPH4cd2qDJMTJzzAornswZSV13RVy4Xtmir
WU2Gn7Kt25tax1oIo7A62K09nBUiwWPUp0l43lgNnF3415veUmOg01lltNRcuvM5n4xkXJQz2sQ2
IQRxFs/D1yCqI7RsinGayIomewZADIwfYwk20FLKx84cHRQrNfk7pkGPuVaD8NFR04iGdtwRWG1D
VYABi1w7aRNEdF5ibyJwvxe4no29N/TpG69XHHAVMLmbJA3cqRrBTA6MK2elrNtikurxZCUN+MCl
EWJ18G2kapcuxLC1g1X0DgMCmr26yI8enlA8h006w+eaoG992rIF8KDaCDd8VP2pFoaEaTtxIC5j
YWDdKSsbdxYBxaxUejm02aqSkYj3TqLIciNBQgc71LIgZJkz2tkaNq923lSVea87fYfiu1HTcR13
+TzoJkcAGrEu3JOYUW6+AKPZtMuOEXIEOFOdmLhxcmQeMvbisW9jkUAtIF5gEU9ZcMZAAXsHjYto
xxPiMbvS45ZpucOm1pNVSJvL4f43rqTvisBdYk/LszvTjOor2ndgDwXnoatkNJmfa124UHTVOYkb
y4VTLdXXmL4BiD2rKfQV++48VdQlp++Uw/T1mMk4IvWBksDvRRMVqzAmj3GpKRxhDq4FkHHdd5a5
dTK9ZDSfmgwWIEK6wJfYKuaInwbwOJ9CGC4GaDUbm7jYqyzTq3o5eb07+aWXmW9JjqxiWUBDvfUs
ZTzGrqK+uG4m5bbsaewg0RMtGTsDbWIG4DWZulmSVMxA2mjBEDh808MyvmonYhZGr9IQeMQNAF3T
jVeTU4pLSQLJUjikK2lF49rrkaotWZoDsdkeIBLWKZm6GHGa4Oj1tX6lFpQYK6peT1mI3LOy1YBn
NaW+hk2I2W6iRoNF4dHe0f2pq8u1EhTDSjgGXxOTfXnJky21VZ2o5dGAdaMTpRdmq6ADX8KfhkOp
ZtW4KKqy1321EgGQQUFCb5DX0SGAG7YzEHRfpIhAhD9ioCWOqNNrAmCMHrSPwyXDW+IXeE0ac6G7
CgNcs6wxSr+VWaxfCSNjRpGpDNmzoJaML8mXcSROCyEGmquYryF2GlW4YAKP3HwMhYrwk1a8nFSe
xSpOLd9Sw+oYZYo4SYFiUuCDA90qrea9jaYTjBvivJ3hDP2QcoMPh6sAg7V2IVMsjmScOfUNQJ9g
X/JMP4+ZR9E8mRrpUGpfYSzSY+/EDcpiV7UqNvGB6MeNqjCO7GrCXhz2kFUoCOuy9QgiX5HQ/TOT
KKGz6MiVVyL5kWMjiQ1qzb2JCuuBOmDmz3gFKXixofClyaA49kw7cH3VuLoBwCyHJJVXpSmRtObQ
Nsi+rLPaL2o1vnRAcKw0YEahb7medTLP/VdUcMEKzvITdaq3UflOriA+MATCp/IZ1kz7NKqEt4Fh
0gKiO/WU0V3pXAKMagZoOTmillLJNpOSA+QP2+FmGILDCHDzUWNSfmnFs65Fn6MwA9sa9i7ana1Z
ZeGJbVcp992O926UeXTBndjalKmq39diwnYEncieK3QEWUxb49B3TLPK/TZMqGbBzD5ZLDHbmLJ0
lfLFac6QDkkeIoPDsSChEf8CeO1lSE94V5aSIpo5fHlTEh62poSzDxD4zGtzKmmrMu4+lPCDVz2h
OqMfJthUa6UKadq7ur4jF89dIWmJbvjqQfax9YmljakTy2MIxYpOF5DDrMDKU0AW3BtBBKfY1G3h
12g9yCGw1fTMUgx4tnEE6RcDu4vVIkkuRFaHIz07IqoiFZAaoQRjs2TS3F6Pehbf4trvDp4SWmTW
B9pBQyb0WjdRsxYIsXLf1sdI8ZXe1O51SJwYPtJkZ9V2cuaoSGR8taOXkbesV7FEbAY7MU92WUFL
VxZ5vgGjncPHVoadXtnVEnnIcKJkvNnU4SI+NoqakjWkdWxlhrwXbHURv63O1uAluSaOketAz9yb
NpJwjUZZ6QxVot5e12kCp9vQBybOqDRgAvcIq00nKm40uKBrG/b7oTT1N4fDILsy9rVmCaKpPR3N
wUEtb4pVl6YAibLB7O/AR4FKCKeaprzsyvYF8OC4+E8O51kVAPneGoDsfWbrw7BU7QRUDmN864Jm
K4GzmZeg8/i/0kX8/8hBj9OB+sPVdH0OQDEsLBl/q4n4c+LMb/+rePntL50fP/0V3wTO4Gh0B4DZ
zPtTHV7G7wJnFROIhpcDdz/kpy/S5x9MICadR1A1dD1xYiL0/NZnnHk0pGxwPd7OfEn3n+kzasYf
JaVfXSA81JptMkT25j7kD/1GjkvI+uzJXAX9rRzLM+9GWxMXhgoC2xvz/dnesFabK+O2wHtMDkdy
29QxOIv7YGiXMX07l6hQNc0/U9FD2t1GhIkQbeS45C5QVARNvovcp3Gge1OFiS/je9l/phRaKfTw
iOW7npVqvT7iPxVE2u0r900Mi2wb2Dcd8/wXnK1+YZ2SFAGE4qwUchHYbzSriPpj+K0weLR3VtLm
QNS1c5bH5dgriywaN/lcCgIjXQxklXG84esj1onWhnNlfD5EnynKqPD7J9UrbptWvczrKSJh0XF9
yxirVePA+i6e2+zCBqNGqyhtOTgR3cbqCdAWPIrfO/pBS5LrMJt2hiEYKehbxcz3WKmzhZ2fGgOI
YMrLi0YKzgchwlhcMjPKLdMyPKcJm6JRvlq4I9Gwmo8qswk+plVX4hLz4AoTpWs2KQPEcSHaYZkQ
x4K27IzwhwM8xHOaI8+pYx+GktdKGqaFKEy/G+LxtmQEg+JzFZrk1aMA1PxZy04LgasScHsIcyjQ
NXKGudQ6r0GmJMPfycjjnPauh/31SwHDT3UIFjId+unvn620U5shLhVvNUz5rWgVjKRmcxg6a8tK
ugLaiAbQsffotTZZdWHlw8bSzJM2d+USNxwu32bW8xFIZcfZNlXUdSz7NcznwJeBcTC6cj0M1rVh
WgKWEkWUEZ/UxYkqzY2oihNtxJMEzIyOFxkJlxbyNtfp8U4z1OQjJG/ozQQkaaWPzOjJbLEWscjX
YULSiBZBW2uXdU85nDSnCGmXsCOWoVC21aQehCXWnWEeRkLNbUZawziXuPkmj9qbBHsjj+RmYvio
fbbpQEIA3tf2dK6W9J2UMmSmBbkeZy3e7hFIUIdnpjhz6myjgDxAqfmUt+M2y9Rt2EMupuCBPC+n
02loV6D3jmNlrcuCZjIXxGg8H/20cc9yca/rIaiIG12IM0J8trh1b4rh85RYw0kFQRmZneY81oEh
fSXKHhRixqJK2yCrxNRuE2tke1s6vS/IRmq/Iw8nHAHOUelZS4968KTumQrY0+cfVtefWJi+5Fn/
aLKYV2cDA5MKkguozh8nHlPJwFn0RbCyy/Q1VOR9wO0LhPa55pw1dWKvOeIKDcz5JLuLsBE0RodZ
VeprqLegQTinqUXMM/I+GBDeRaSDyovbq8b1UH236SGJOmJUi7/zdDMi+sPTjaWPHqbKAs4GM6f7
vX+6Gw5pTEdgANWOALWpG/sg5QVD2AfFhwoONFGQRXRkWBer0N4qOYtUrUmiB9YDjZU6oh3oKHTx
Rd1Pc1wcz2yorzgnbtHtQeGykfzE3TUL68bIhkOcyGtigm4nY0Y36y+hNVznJoWw4bZMpDGBBjFT
HWG3JZ1Xl6Wx099U2hvEqbTKKX1AtFRT1fpZ1V9FXXfoIZ5UNgPy2C7A+BDnZtveZ5zZmm+k3Q15
fRfwCCeSc6q3QkmilWVUN32rvAFMzRZubL/ZSnbd2MkDRuyNICBobWlvFR2hCOWRV/AKwnqHmsaf
XLqzkXUHjmRDnKXnO+Kpxzg/4i4u837VaJjm+oXaRQvOL/cFsOY+jrYQs1do185UBbYxBbJfqTrJ
42ADoJL7kUTwKdrbWqWJUJgPU1rfhvFwAdl0WnbzoUVptwYa2DpUt1ZdXFtRv1XDiQi85DlQq+sM
W7XUDWRpfN8Tiywb9xAW6q6s+kNvuksKwOtc0zmvEPciVW/laSQNhdY6jNQ1H/0pQUGrnlQUe4jv
aUNv6Q2uWnJcLHrJ5WlL8k4zWuvWyyDAI5VtHpLpejYrIrhdRvLEq9Id0td7uEkADDnkMJvQ1hy6
N25KaM98phdG+5ZGHCJa+wBUYFmL5LHOwVR5TUIkt57BQjdMGiq2094nuXNZolyn6qwhzDOMgfF4
4MD8XGcmYVaIItx8FyjevUnXFAHwC866dSWxMGCcOy34GnLgKg9tnW71ieFCWV2jk7lKw+TE1Md+
OUGYqhHRLRT8fYHSLpn8kwDaL4OwKdiZHhK93xrDsM0lHLOUMQV0bebmUfEQNtbpIIy7DKqJb9kP
1lTfDLlsVzzVuzpw3ibdOAlwXK36BtVFpoUEHSBHkS2GBRG62coyp9M0ZNeyCXUB/LpxhHo0oTCs
yC26Ko3xmNaYI1LZPtBTBfkDNGcRg+ESZnvbTe6+cyo6vyrt93SX6tYdpGcCQrQB6FpyozX2g9Tl
iToMT/kweWBxsqWWGVulH5aDqh5yO1ymVnCHmNF3BVAd07uyJVj89BHNhF+6cuEF0XnTxZdGPq2o
0hFvVG9TTMoHd2wYvOthnMV/8aZsJ/gS9VVADEqKzmhSPw9M8EJ9WGvSe04QESMe7DBnWFeB95pz
aHS8lamcC/e8QshnXBTyClnqQYBdkEaFewRGtO63iXubE7eVUnWUE0FVIJO7islk8prGI55Jzj/N
g+Pd9DST48EklQGRU7TU9EcZXjthvrFdQcLDJc5+4jrApkmdx0XB6XM16PE8OTpVg8xHrUMaxLiN
bTr2ztpCu5PG0F8T8MD2hdY/I1ZFI2U8tJLezMj3OtUfXO+AR2IBA0gNJZSxNLqvA4JuZGwtw/ip
b5p1Lt8Ati/yynsaDCNbw6F9Uip7G4twm8baSwdZFqRbxNGu9JYj6AHGKf2SgS8A0dLdJXRYidPz
mqUb5nfxCNx80EfzRRE6E0nFxUfhuOu+nE4sUdxEYe0sp0S78VLlsRzHewKWbiYsHFMA+h+tLXOb
gpkELUaw85lboMXn0NX1xXMpp407OVtmR/OwEQCGSzkVRgzMTLgRQoUDq5p+nvTHFvIqqN2d3QcY
Q7AfTLbzlHfd3uujV3eUNwDlq0Wd6PiixnBZNpQmJPgRJTinpc2xqUlH/50hWKXRF5/M07Iy3gh7
WSTaJmztPYaYpVaKsxR6LOXTWVRb5+PYblyj1okcIPtXmMi9zR49P/P+eMmwVEFs67WrLFVG/z+j
iZMuPAtvVVneIUVFzAhJ3sRq/iDmGPW8RE4eNsGVEWl77g0sXqKgfL3CU1s6cGmcQkpfhWqBIMq+
/ncdRz8gV/nm3v0p0fR3f+j8t4cyLtqb8k/Y03/oP/ou//j5hd4hUnlginYGrobAI985FOea+p2r
8ctL+oJn/VtXyI5QXOUL9FUdXYqlW5oN2uPLD4ffrCzCb3/teDNTwDbnYv3LD+ZFft8Pd+iv7sHf
fnt/Zsf++Trv3sBfUmINT+fI/I/cgz9c4od7AMeOky2ucgh488/7e+Dy1yooUnNGJPxab15TaVvg
q//oDXA/EV9nUGgDsv3zDXCcT5qGYok79Is+BI6nGrb+0duAHZeHXeeJwtb95ef9d8H8pFrMlGyd
jIz5h17Jr/U4zLdBNz78ddDBOuosCCbnrZ88Ddony+NkwyPx9Tb8cksCXazZZP2xNcH7BCZAQ+H3
/hmwPxmQnk3VdL/em1/vzYNrcXmBtAQ/dgMMEpyhv2Ak//ox0535YWNgUbRs5Jc605EvP8gjf60v
A2OomXn9oZuggUXVVFOH7fDTr4L9aXb2s298u0dfd+NfaHekazsLVz92E9RPJjwBx3G40g+PgGN/
MlVX5yn4tmv8ctsj4l3t6yL9FXv0e6n15wLpr4sDSLYWkwGEve/evet8wpwwa4O/Pv+/3m6AyUr/
6DIIvAJqhTpTKv7qC6BiVGR+8fXnl9sSv1ZIxodXQ5Y7g8eAUcy3d/ruYfC0T7qDfIpt8fe//rVW
Q2I3TFbwDy0Euv0JpT2bgvb1WfhjnayyJdicJr7vGP/EavgPLJm/H6oWEQCcL2eu+LX5IYni7/4H
348kf77At6PG7uW//2MeU7z7D2e8zNdLv/6Om/mf75aLL8ehH/7y+/Hoy+/59r9/e4N//tXvftf3
d/X9X27jV3EUz0QdfPnV317mzCb/7/9g4hiRfXEQx5fXJnp3KoS4/f3PP4Xj/P4U/M3rN80x/36Z
+c7MnoPvf/7XL4uf6Si+X2a+7NcD3P+5fX9KBPmHXu32KMY/4nu+loEfvnKcH5+jY/bTOw3SjFPH
R3/F/pjn8rf/ccyr//rt5NhEtIS+X/TLI2lhGfn+L/71O39yFAVNi/QPjKMvVdJH38EJz2n2hwt/
qTw+euHTY9pEx5f+9bX6fge+3JLZXvP9X/zrt+Ts+BKNP/8Ozfadj/+Ci5eYl//9Ol++RXRS/g0f
5kG+yOfoVYjx3cUJGKJ58dGbfpBFcnz6fp0vrxrQ/7/hVV8dkyPSveO7JtYsf/g3XPs6TtP43YLF
yND6N3yGN8c8zn47P77IH+8IJx+bauejt/q2bYkt+ski/m3D/uj171+b9jf/FbZZ9v3Fzp/nt8r4
o1c/O7KYs2C14t0z/q3y/OjVNzLh6u2Pr/v3DseHr12+e8W/N5A+el125d/5r+fxc/nEp7trgMu9
NP9bqP4A3jBKjVTvWFSah7t6Ai7xNASvq6DUW76ZVflFqM0BoNEG5sAbQWDeIr8UDikCrp5HTUFQ
w6mQe7Gv14I5GlyXgDwCbNjDxMj3iB/wDjJQVMNMgpoOHKIF3n9CcVGB/xoXeNuUvPaTb2o6sI2T
WImSKxCdJ0rTj0tqTkYmLAgQwQIauabYaHh+w33eMoWBQ/CsUorNz0gsKcksxjgNFTqWR4VsAK5n
gLuf0VMn1AYqtKW8gFUBTvOp0B8heEQnhZFA7O5wCq3BXh6Rs34Ur0Ow9Tfh83aYvVDYfBw2bahd
bJCK5JzUxCI7AAAAAP//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2815D1F7-DABF-452B-8E5E-D598656C1294}">
          <cx:spPr>
            <a:ln w="12700">
              <a:solidFill>
                <a:schemeClr val="accent2"/>
              </a:solidFill>
            </a:ln>
          </cx:spPr>
          <cx:dataId val="0"/>
          <cx:layoutPr>
            <cx:geography cultureLanguage="en-US" cultureRegion="IN" attribution="Powered by Bing">
              <cx:geoCache provider="{E9337A44-BEBE-4D9F-B70C-5C5E7DAFC167}">
                <cx:binary>1Htpb924su1faeTzk5szxYPTB3iUtAdvz3P8RXBsRyNFSdT8629tJ50Tu91JX6Af8DoIEtjaNEss
1qpVtcr/fpz+9Vg+P7S/TKas3L8ep98+pF1X/+vXX91j+mwe3IHJHlvr7Ofu4NGaX+3nz9nj869P
7cOYVcmvBGH262P60HbP04f//Bt+WvJsj+zjQ5fZ6rx/bueLZ9eXnfvBs3cf/fLwZLIqzFzXZo8d
/u2DzmCXD788V13WzVdz/fzbh1cf+fDLr29/0B82/aUEu7r+CdYSfiCk8jnmFL38wR9+KW2VfH3s
w2OkhGCK/L7nyYOBdT8148WIh6en9tk5eImX/78te2UxfPfiwy+Ptq+6/TElcGK/fdhWT9nDh18y
Z4MvDwK7N3d78vJ+v74+4P/8+8034I3ffOc7H7w9np89+oMLds/tQwnG/V0+wOiAMeVLKdmrw5fi
gCGfCIbFF9+88cHP7XjfCb+ve+OF3dE/ygvXXQfhetY+PD279O9zBhEHilAuMP5y5uhNQKADLgTl
xKfq5Q/9fesvcfGXrXrfNW+Wv/HQ9dk/ykObh3Z+qP7GQCHqACsfK8bfxglliDDE/C8+E6998hfs
eN8b3xa+8cPmn4VX4XOZZr8fyd+QMvwDwShVSHyFpdcRIuUBxpxJyClfIuSNN35qzfu++LrsjSfC
fxZmre3fGA2YH1BBCVXE/3LQ6nVUsAPEiVCCkC+PIWi+ZKwvSPUTW973wsuiNz5Y/99/FCqt+/yh
feh+P4y/IR7IgVBEYMnIF/h5Ew/4gCuJIKHwd+PhL9jzJ774/UXe+uPwH+WP3UNbPXQPxd8ZGexA
YsQI+xOPiAMMpBco7/s5/C9Z9L5Pvlv6xiu7f1aUHEKVUaQP1dPfGCf0QACvIup36uS/wisoNThQ
XUrEVzgDMvw9Xv0li973yndL33jlcPOPipXjB3DLg0u79u+MFnXAOEE+5epd/IJoQb6ihH3NMm/y
yF+06X3PvFr8xjfH/zDfPCcplIXz3+gZKM455RAT8itQvc7wCh8QKYUPyeUbAfg+Yo7/ikV/4pf/
Ln3rlX8W47p9dt0v+rlKHsrf4eRvyPj0wAe3cCTlawiTB0oC5WK/u+tNqPxFY953yavFb5xyq/+/
hrH3ezvft09efeJ/28IiB1CPcwwM7F38UnuaLJhk7/Ovr52mP7fmfXd8XfbK8P/Hbas/b2l96/CF
wKSil9bgd12tHz99eT3oVr5Z+qPu1pez2j799gEjjCRRUOJ96zruf86rxH2cLbZ9ML+H3+tlzw+u
++2DogeMSsK5zxWVEDUjhC18mwDAQaeFQWvMpwRR/OGXyrZdCn1LBivES71PEceSA5lwtn95hA8U
EwKyme9jWCvEt47smS3nxFbfDuTr179UvTmzWdU5eCPYo/7ysb2lUMYyaCsoKoiQQOHhfeH548MF
dH33n/4/E3ZLVWAzbKqBWc2Lql6PvDHrNscntHVqm8XDx9ziSfOkfyaxiI8TbihE7Lcje8cM5QPW
/8EOQpDk0CakTFBoPH1vB1WJZ7GNh40oXLnpJF4xWqzsEoj+KE13rNk04iw22UmfjbmeuUs0SeLj
PJ063bT0qm/kiSObxd0s2QlF1Y7mUx1kfsd13PnhKOSuxnWix8FpxrvzuZ/XOHaN5rVAIeqvR5cf
zXyMpriKcuPOpmI6HYv4kNC6155Yxc7cMpOcenltdM6Lqz6jbeRo8sBkYUMkexFyMUy1RklbRxNs
FPb+MjNtszvn6is6T6sinjd5Qs9G5ahmrEg1HKyjtLtLxVjoxC5oJROi7SSOhsrgFU+TYCbH1rMr
0dBg8G+9YrlI8vyyEe7QJdOGUHlYpVWQF4lGsrmcJv7R70qp56k4UYz1miUDDyZm/Q3l2a2y5qT1
l0Mx8WebZhsf3XsOXcsEtu/kccvbCxHjNelshCcvHAlpNJFgBlSJwdwXUTeXn2w5PGUNFZt+oTis
CvGZqCXeOk7SrVmo2TRF34STXHYdHo89v3ehTNJSj5gEdBaXpky2LbpwlQwEoiJc2HjZTMkZlD0r
OuocTksVuqzmKBNhJ8bDJqfXxvcbjTymhbtsqunzYPzt5NDHxTE910jpdKzvkjFbzTzbkYbylZmS
0MQ26qS6huulC75CgjLNsDTh1A3RjIaTxIvv4nrZDYJetFJVepL9NaY2xPjJGnPi0LDrhykPWJ+E
dlpGjTtOo5ZUQRGXoZq6+5x2AWHdotFU3km4mk0qrjODkI5R9WSbNtZzakLrcqMJ8iKTd4+oq1N4
HBd6ng87UUUSjwEf0tvc4CtmbmXbLqd5MRa3w2J2rmDn8TQMa38elW5FMm4ZEaEcip2sVCiaatOl
xZ3o4+fCs8fzclrza8fMonHjZZrU6Jx00mpvXLZ1kt8yXI2bfrDhkKdnSyyPhqkJE8FXA6enbD5v
/fpYIhW4NuXastkeMeU2fY+TsBfpWTfFZZTk3YYyzHTXTTzMKl5s/PRsSPBRZU3Qqq2raBVwUWuA
g7Ms63OdxNNtvXSbpRCf4iWL8rEqdeHh9rhRuIXIKcogEzSapy50fvaJl/6qKc4YRsFY43NjTIgt
W5VouUG+2Qyk1ICno14WcetlccC8cg1XQ4YoJWZLbc/0gFEfxIM4sT0+TIk8rchynQ2Eh00vP2ZC
yKDIeCQWHswzXfVmOpXErQmZgmrx5W6oxihp0kcxsDMc5/twIqcK9aNuOn6aqWQ7Feq+Kppt1vMn
W+Bt3iznM2KJZsSaVVFWG16h8ahsvHxl5eSHuM0vkrRzwRKj04TKLKrwWSuWADkEJ9/AOSFv69fZ
MYhnYyhiOgZ1O6zYnLUARfyMt/G5KfNGz1V9lfnVekhjFmQ8xRqQ5pPlKmSzuDHYQKy4OiR5sSod
L8J5sjubttdyaU/jqvvYz6bepLhPg1r6N8s4X8pxTMJJHU+y29kk1oNpr5CnThfafOxKfk86supt
fITm/mMzF7fFLM26q+E9hKdnz0btMEeLzMjFzLwL5cPxGNxEvqwOu55lQV/Mi26YJTqVbb6R/rgd
kb8hhK6Xtv5MC7OuoDPkJ0umxzneVnVKjpsYIr9q6inAjf9MiLyZ+JRrW7CoGedVQ1UdpKx0kaFZ
oR2uNv6iHkhPJt04BfevQ+tSpCgguXdNLD2a3OwiiLCTbsa3jao+zVI2ETN9FSDjHvJCQmAYrNNu
/Dio+Kzy/Ctv9I/Q0J0sBA3a5XJeu7Y4JjbZLgl7bhKPa9QmZYgzd7TAsXpxfFwM46otRKaZHRc9
tyYPPI/5QdomPGinOKKo2EHobTvcV1HPvLO2HiiARVJEOPeOGeJVkCXZU2vrtVvKC9SVDo45OXdl
v24k3IfWh5MsolbI417RrV3Y4ejGqGwPRdoFhfSzjfU6jeb4UPCPPS2uY+OirGvXxdxrOVZBYwGE
kI1XXRqv61aEtb1PXXVilLwdWrydShV2JduNrtuMQ72KaRViNZSB74styqZYF3mnC3nZxGPYdGwz
ZyeN7W5nk+pxLDcKbrpf4jsQkE/JOGyKRSVaqnXWxUXIXbxZvHQJp6G9EjGIYkUf65RNxaFob33V
hrzstRiprhTZjGV/hOXRtNDQMJNpr2rPvYUezxMgVz0JrXIIeY/LMz6lz/W8SwYZWYlO0+mzGZYT
xMUqzxfdIvq5i20T0T4P+xLvgL8Fw5h9zkj1lCbslIruhIp2kxXJFZrHCPVponmr7vx8CvP+c8dx
0MwAnaYKHG9PeDNBENo7CJGbZuaHsrwf/OJjPlT3iZeHrsiPetSfylwE1HKAlzg95gBaCx7OW2cP
5Tid9CoP5tqcNtzcm8Qrw9ljn5RsToaebOw0H8skM2GX0yBXeGOoC0bcP/RLf5fmKir5silw/ri0
1SdD513qHft1rKuJaJ9brkVaHzvhAlNiF+S+HrNLYg4pgEI6hgxguV/CtDMB6/qom8x6pMdL7m9H
Up4ilT0P/hDRMslCFkP+tN1aTGE5lI1OC3RsExnrUjVHCSvO20oE4yIuejMEaTLozHQf0+OqPCLu
OmdFSBtvVbv8pM7dBo/OajpkNzKTXHsLiaoUXis/k0tY9XJdTuPGGvfE1LRLs2IzNXCALTlihmAt
pnKrmixKXLljUx4KKW7aqf2kmj6OOsaMLof0hjeeC3jRLcGUm+sJC3Y+LgoHInW+BpUUiI212doO
NBi99rDIy6DoiNUV42d1Kj4m+fxI4v7WDeXam53RkrU3bVFv7Jjf5LKNOB8DQYZ1MgGZWa6Gjuge
gLeI/YByc9HUlQlit54xj+TgBSQ5HkaugjGdjpSCqx7bQI2fy9QEfXbeNepwNOos7rLT3B162RyK
UgbTxbSkK+tWqahOm9i60CPtFBZpCvkjizzUX/SQisLZ9jof14u6TiS5TUZ0kfUI8MBfZ8lVkRXr
jvJNn7GzpfBXddsfTcicD/jMULhALhiW7N5DqZ4aXGjbcz3nn8ax24iRHGV1m2ivmQ4n5XAwNuKz
qm5SiM3ZJocjTnTe2k2soJCom1XWHWV4TnTpX4kxWfmse8h4pRFSfchjlGkf+EPvyduio1bPzU2z
JNHSeNue7JTvBVkOkMWAkk6xOGyMuMTmauBRYmc2Br0rGqVjKRSAtblOkPSCasizQyXNUS8hI7fI
LYcyrorj2hfm0eOpiqpksds4pi1wyFZ1d3ws7E3TLYNeMt4HQ9nNn6uu889UjvzjtqDD0zDaImKF
QmvOc6gdFhEPQdz7AfH5FFnO0aOoyvTcp0bsUJPwRAPYm40idXFjYS4lKrFRF8tA4SS9Lr03wIY3
ZVbHUucex1FXJ/YwVz7pgxQVaVTSCgK2zLZYzslGtgw9w5b+oyyX5ZNnBNoYPnfrGOX40oqWrrBM
ulM/ndtDVOVmhzzZXkK9B/wYiNmkh7Zy540p6JUPFgeeaiC35Om4RdjVOzuwZNt7M1nJNoEct3hT
GM/Y3yaNRwpthlKte1s3x5XNkwhyTR1MXC1bT9XumFQyPizb3h2qXg4ISByUXlOr4NytqI87JnFQ
kfnY+mQAPjOj/NL6nbxBLZofa1s1u7wT8SoRS3LKpsV+nOiiTnJaNddQ6ED8+C4xn/xc9HdeSfmo
gRrnp2zo+BVXeXqhKJrP3ajqEzy2/GJg+XTaWpXuZnYzZFw7f2jXaummi9hidu0xNg+6ymbykfve
uJqaGqBsmcrzdpD9yZgt8miGhHmf8kxujO39Hc6n6VPeLtVZX47dGcedOy17nG9NNtdQQ6peqyRL
dWr9foXnKlknwOu1oLXQxbAITWOCA8tys1ZpUq/NvsCuijmbdZrERBfliANMU35L+yQNJoCn+5yX
5KSeerphucQ7b1lmwJQq0abMzux0P6V9kGcpD4aunE8JmSGT1mYeLh3czBlnoZvN2lpchX2zPPIy
96DidT0P63i4ij1x7VfLqWiKjyIrN4ybbWpJwJa+BNjPNp6Ydk2WR1k9iohLHnjIT0LmqYjPkH+R
vBu9ZjvMOQp6zJ5ECcmM5A+sLaLZ5sGQFKuuMlEFzA0SA+NTpWtfiRM/YWhdxe3tROwVqdg2Q/5J
yfqQ4SVIcwoW9+uhOCGovcG4U1HtubtlSVM9wzhV1BpxNbDhOvbwaT2LUnuARFlaHM2Tt038+dTP
kmFb44aF3CPlxlRDERYLOZ39XvuElYHNq0g16XGTjW5lcyDlLst0T9hqaLtV5TwS1pHrb/u01p11
O5X6OlP+Kimrz3Xlrn/c7KDidbPDZyAUwTwah1qTMx8j9abpIvwcGBMX40aUt1DmZ7tl6qfTaayJ
9nA5HyJRNSeTTZZzwKf0YswEv8K5y0/buBGjdqIa7vxiMJ/kS6gU+6iZ9/HD95GU7mOq2EdXs48z
/BJx+9izS1JcjrSCBoqF0Oz3Mervo3Xex225j+D4JZinhLrDviy8wySGWJ/3Ue/v479VNomMWZpj
o5xaj/1ICx0nsb/N42IOK9zGZzB+RFb1HlvwHmWWPd4kMSAP6uIpaNhIrySfAZewA36epGl3iXLr
LpF1ZgfzYu1hvbTdabJANab2SEdiDpi3Rz+xx0G+R0QvsfiZ7FGynbtsm9ZWq7pJo+IFTPs9rnpZ
QiLzArZ9qcbNXPjpfVUDz6jRrC5YXqgopaS4GWgKBcM4AnyjdBS7Zh7Tc6YsfoyVN0WmUQGtc0jy
L0nA9gVej/vM4PY5It5nC7vPG3mm5s9on0vafVaBfo69wftM470kHfCm3SYCMlGzz0n+Pju5fZ6K
ZZlupwnmLfc5LN1nMwxpLYszkmh/ccsTQnTnS6Va3RDsbsbWoDt/7rtaz1lJbmcuoallejJ/HNWU
QNRQP1/VCTSgCribUS8GqxcDBI5kimg6VSfSldVJmqZZRGqSntQD3DxaNqsairaN8FLlAtbK+IEZ
3tuN9dECxY3t8MqBatCGWfeyI22hzpfGdxLytCcruExVmgbO2vLMVrl48BtCdiYHkFiL0Yd6VWAG
TMF0XjVqKVjxiaL6fKClisMaEd6s0pgCL4FqIegbr4CGlxG+zjsJXTVeT9HQNBcpVJub0WMf2wpa
OT0aoJJYgFcucH3nsjeQbKZIefFVnjdXZZeayBvzNly8ypyMqOoiHwr2Zyhibj0f8WPaKxW5ml0P
GVDPwSM0QmYoAGFTP8iapLzwR+Ed+dlURJDoXRijIruSqEu16Fx+mApxleH8ym+ydJc3qthUEmh2
b9BhQnEXVUM6pSsxDUB6urIIByruM4ygV4Kzz/PsFUHZLCmw4qKPCJ6PWuAfejTw8REuRpDL4Y73
2B5WHNFVJSYWFK0l62Yu2xAPymi3sLWf2j4oq9HTKWr4Cpqp0FZBMOfZo3PghUQjMTUa2Md1bacb
S0x1OXo1lGN+ma5Z3w++TvrCHqWyTsOySOy6m+c6Gj2M1zQX9cqXy6J9NrjVQCDWrA99zdhZqMCS
WepkcvdjNcjtjIvsLluqe45LYBC8btel9Lu1UbRdx0vZw7XKnG6MmYIWu0x3tej0HC9NgGroL3Y5
Z5AdlQFqUSMo5894M/thQoExzSmU/Kkf2xsbd+DhGarWeF8PODVcwTq+TSgvIe0Syq6dL6qd7Xi8
JbVCmxrS7rGN5ROunbkqiLfALQBA8Uz1BFXM55yKq9QIHEw4k5p4CTupbZ0HVsDZlSp9cgo4RZk7
SO2NMyGwAqzVnH2aZ3I3lh8Rz487H8GNIFkwV/JswZaEc1F9Fm65mLEVQIX7SntlV1Lt+ZJEUHQk
J64lQ0hzAEeMoPAYKh+SlWXt5YAJulYQ7VC94sfJIhrxJr+WbbnBLQCXR/0RKuO61SLB6VEi6W6W
Ywq9ZIivqYUkYT2gA9CQPhliTmLdS9tssm6w25R46SYZk+Uu9/dFZkLn1TIVA6xzslmCvBuW+zgr
TEgVSwPZl17AODS9ZJfXD3k6023iCbRLR5Vvy46509jK7mxwcXXGY2/6FAP+7DBp5GbaM6phz62a
Pcuie741vjCvPQcjXie33mi9MH5hZ4C47NrfU7Z2T956OPGXxPtVOPoqM3xRPx5tPbfZvon2IgB9
+/I/V9bA35f56f9+cz/R/t+vjn8fhf/hp9bPdj9p5t5+aG/Nt58Fu3+1bq8bvfriDzrWnyhVXybr
/+ThX5SxpBIgIH0TZP6gYR09FC59eBqfn+tXOtaXdV9ELMkOMKGgxUtB8X6aAgZYvuhYkhwgEI4E
Yj6H4RefwZOvOhbGBxLthUkKqg5QPfZfHcs/gKEyGJehUoEKxmAO/3+jY+21su/0I6FAk5ZYSoSF
ID7C6o1+xO0Ypy2tWChGc6iMW6vRL48S0953Lhs1kygsxFhBldqvYz/pAy7RTRoLdGTdcEfH/GNf
tyeiXeb1lA79pmu6szwBfQLeIgtt72VhUzsWtLy863xXaqSKu5HbUA3zIYUxRV31ooYuNVT4Y376
nTfekcdAcHz7cj6lIM9Rn0rsszcvl6My7ZbZsnAyeYh5DzrS56qtzxA0r/93OzHwJBcwhIzhL4zt
wwTA9zJc4rVYDsaw0GGrswRkpco7mjsQQ+ok/PFW9DULlkwwIUEegP8oh/8ICKPf7zWLbDTe2Hhh
JYZHGTcSuER1280VNDUV3saDTYJSAJdHjahDOfQuQIINWkI7fh1j6Essfb1mmfwIn7qqKnPscbKE
nLd3iTfurJAPJA0ZCHyAg/ZTO5k5qGm66KlqjmaWtLri2QjtTHRoaO+21AEB6IZiihjKxjCN5wcx
LB+bJrunjYRuUoH4T44b7z33nfy6f3lf8f0kK9QEHJP9tf5Ofo25TIeZeiq0vr9O80pjMzVBnXar
2sZrZe9qIx48fwgIqGcTcELNBvNUeunzj53xstFrQ0D/hdQIQwaMgLL8xhBIrlNiEg49iK7PQDRq
ZuBC8s5PXBtOuHws+2LH8llnZblr++XK8vl8iHO5pjVwDaPIOe3by3zKwok3a5bIhyVP7s2MV0vJ
YeD8Gzi9Ew5kXx99byyI3j6AEChcMKOy19Rfn1qV+75XdFMaIbTkAe+gf4rGKzagy8YTx3WXXbne
bnMlNssk1lmDbrx0anXPqAYyBtk7Dwe8aNlhGixAsvYcbqxb9hNV+w/eBTsV94kvGIQSB6R7bSdP
GimyTHrhkJWXNRDg1WgMCEcjSMu837nYYW3yEWkmOqaLdrkfmuVyNm3Ug4j440Pbn8mbM/veFv9N
zYlEjctSlnEYV9Dgq6Fjo7BGMcjQPlm7n273gklv9xMwscIYeErCb5C9fndJ48JfSqlC2i1G9wmw
Rr9rw96McCvYJU5KsvJnAwqk9dKgMTI7E+m8ZSi9lzOlOs9jFyWjKaHxX93FPQ8Sp1Ymd1dLVhY7
kooy6GM1rWKenSuDeuiMK+3R5cjvHNvkIp50jasmaAeiZ2JxNCb9DoYzQYKpuIkYa/aSXLKKgUnr
Wjm3AQY3Q1uvWTQ3NtekTWjU0eXsx454DeZyP7EB6WD/6wX7mR4Gee9VyM8Ulc524IhlYdHCklVe
n0y5Hxbm+McbvRMmMDtHISn6IGgzyt+kDdAXGlLFENM0l7tsKJ4rDn1d5tegPCrah8qB2jyNl6xZ
tl0/X1DojsW+cRq43H0L/euKu6dELtD6KTZtSa66rj2ebLn+sZ3sj1fztZ3AH74HQRQrmHmomyKK
F3E043HlCpkHKDd3MSRoLdEwhGkNFVHqpU6XU3XcTvUc+HVzl+wFGNDWvBPBnBdNU0M3NM+G49a1
JszJWID46sfrpBHscBFtcdOPzAZ1050Mdhw0q3un626YtEdqBlcNNhZomMN0mUsoLxh0ZMa5g8Z3
ZiJLun5dMXs7dflDnELNPNXjfD/z/oYsPkwxAHP4bGpQxqY4aVdx3yS7SthlVaTlzY/P7I+XCNgO
f5nEw/AvfxPNRaeAblBQ/hMen3S2ABAcgozKdVyT1Y+3wu/tBZxDQt8Gusbwu5Sv3TPlqOkdtSoc
yEIP+365XbKa7up2Tm7SEfT/soHKvpqPXfI5kdkYWOpqTRQk2LGzUHnPWIBTeHuG1fwT4/Z7v0YZ
SSnfj1RDUGH5lvaV+YAN94s4zE15OCcryb3d0lz/5ATeMhUpJAxJAYhJ2AOT/QjX9xe0JUXSD6JM
ohyn2p/ktIERkyLc96WWLLXh7PqLManrh7Lh1/k4n3NHoxxZFkhW9VEDcjAMKWUw4+GmM7/l6VHp
dYVuY8l+Qijes1T4DJIiXAsCv6L02lIQB+Ny4lkc+sICqmRmBTq25inMmiQIlaACyhVCMfTZup/k
F2Dyrz0Bs2Qw3A7zEhyyMn8LNoNvusUmNg5NLW/iUQLEtIFRNqQVuRjmPshM85Mt8Xt7wsg9/A4p
DDIBwL3xizIwZiELmHZQTbw2xMOaZPV0WDNJQ5IBtTf9Y1oM103KHvJMPJCFpEHsfYLfRk6C1LP2
xJ+qz7mkW2wliE5XP7437A88xf8f5r5su25b2faLuAfRECBfuRpKsuy4UeI4Lxy2E7MBQYIN2H39
mcvZN9ZCLOkejPtwX+UExAJQhULVrDkpgmnA9eCEAWT+Pv9H0d0a9KQL6RQAy2KPVY0USJSf8xrm
si+lQLFoR+USh2hZ6bc6Ku/sLv4Yu2E9I3n7aeh3k9aCv0fN/FtdlkAzhedi7vo0UNXbRajMlAAV
REjCJKb7KnDfnqQtznMRJLcd/nk3fLmrFetTvY6Aftj+rKLxr02HD3bjn8hYoFzQIgWuzrzIl9PM
BvXCDsnrZxkuOyRs8WyRCHJhO0hYXJ/HtqomvDZKeRxn+UB19G6PuxvZzkFqzNocmmQChi4qX5u1
aA4kx1861AmHDViOqRjfT8Pyng81LoOAIhun+GGlAy54GaYxkqCyFwB4JSMgWWy4L8ZpQlIGzrtH
zXFYBEmlVvey4MuxyvPPKIO3SJfEH2aWfCK0ek0KdlQNvR1q3Ab11h6XUAzpbvc/y3o2R0v7N4Ot
jjMmSkL9S9Os92td36tGRSiRRp/naToGjKH02S7ZNAnA9FTW4w1yWhMlU9KK/cxbRk8r609dEJI0
vBRKJ70ekShbzyUfD2wFbgb/dEcj83UZil86IMj2BACNv54/jP+6ZAExFXikozOIhAzdDtc7YUWb
tygXIB6jh36/ieTN3N1cEk/dfyPN/9dplv//EihXaOerRMglsv/nhfKv9MkVxvo7APjy3/8X+yv/
wwnB3RkB1Yq2rEst6O+0iYjR7osuUiSZgeW9gv8y+R88bIDxxYYluN8uuZb/wn/FfyQSLciySIrH
Mzoj6P8mbXKJrH5cnwElwI3DVyeO4xzzNe9UhfdRSY5J9Ms4o+nun9//9u8RHsOKnxr38vdHDi+h
1SzGZpWnKSqbErC8bftYUrH+zXvwN+3B/2J4J6CtZaC2ZW3lqRz6YXi/iD0sHgrUvL49P/3riOfH
slBn+hqwCKtycUpoNO7vDKr3YVoidCFpyENNU876KX8hhHlqrRzXOGLv66VoxWkdkfZJ45AhYOo2
Ef/x/I+5NvwfP8YJEWXSh6ZONnGyxPDXhCxcf1jCOkSIHU/tmgUS8XCqt968f/6DT/yg7xDvR5tv
4tDM8vJBAAfketeVNke+f7SoMj3/gesg559fFF/CgUcfiKt9CSfLotOiRrnciQ0V9oNRIy3vI1XW
9DWxyqpDP/btJtOw4aQ/h205DzfPf/+JHyicFW0GJsi2IucxBGbJionwJi1YXPz5/PDkOmz48fsu
O/no9xmpR1zQW3SyRTH3ByQWMsnIN4MrHODwvlhmPKQ3Gdx3S0HUydKui1FTKGKq0dbkYb/xxTAe
zaApNqA+ogUrjMjmgPreNxktld/yxY7T6eAIlnibotO2jfL3sNu6NJ/tS7nSJzYnvvz98dRjBHgj
G6KTYlX1F4rJ3X0bVMq+EGA/NbzjerpgiVBfjiLkx+T8G1l6jprnLv0cW+w4nqFZamNoH52mDpiP
U7gG83AUpkNU6rexjrOha0HiranhbDpuATMUKCSmfQ9LPT7/gSdc56Xe8Hj5dQJQW20Lmelm7PP3
Uuve/sb6PQnvJtST5Tt0rjBx+/zHntoMxxBpvQVtN5oga7tNirdjhZ7S3/Q0Bd+8xnfzdmMc2nBZ
ozjbO6JPW8GDAclXNQ4v7MblxP/k+pXOYiUALjco1+dZF8S7Pi8DMfOpWS4AHlSReeL5GcefMN7l
MQoSErGppdMNUhFteELlsllPppqW1c+upeM0+m7uc7bqODNU7Q9q2MpfUAJPHp7fi6fWyvEai1pj
siCEymiwVgApDpIBZrp1/UeFh//6wlI9caIuVEWPj28ZF0bF0sTZ0PDtNtB7+EtSkKF54T301PDs
evgur7YQiyMyK3uAXsJ65Z/E3pnT82v01PCO+7Cz7JDAECKbG+zA1BRIbwJdaTxn7zgPNDq1W7PV
ccbHWWEPtngN0jHcqt3zA449qySI+mTF6idE9y2gXBGaLoZa7stbrwX6Dsh6dDlIurGRBKgFIOUJ
sHE8or+rKvrNb/7CMTS5DeCTCSOZGXbB0U07W9GNpPQS+pkYev6ujudabT2gBYPM1FgYfjtqCsQG
oO7DS3fzxfP8xCMJx8q2oi5CvWCL+3wzwxE9alK+1cE+i7tiyrU6rQXd2t8bHbM/bFss7Que/KmY
RziG16xFLrt9gSts4sbclcGYSzwcVIKoMZ6Wmk9pO9U7kpulMADurXshjwIgsu7DHE7Cei6wY6Bb
LgIZqwBZJBnYI6sWmcUSUI3nj5/TbflPZCfo9f5F87RWPe2TjIX70J12ks/TKcr3vbkxKG9tvxSj
7r6ZgC/6hu9xG71ZGaPtayrjuAbUD72lL0zlCVchHFuO2zoy3VLxzMh8ZACXJn+ZdV16Pz8aXUL3
R4ZmyQBwY13wrDBrDKjtYtA/F2g/P3fpin08es+Ktg4CtI5EDV4yAKHGaHCz1bCNLxyDJ8wgcgx5
rNC7QdchBvxpyeltzIch/LIaApMoaRkCv1tZtH/SXZjiq9H7SD3XzTFwhj447PIgMhHn2qamp+g0
2NAQ5Oli3VTpznfVWzHIk+0BPBfbXBx3AejN8wf8iVMVOVYs8gT4837ds9EWyIm3sk7FYOoXnMRT
ozvGKUhYBkih7VlNK32gE6mBU++o56FybBPPkg5QvG7PKN6NQICSj23BX4r0npq6Y25EmJavTbFn
hdym13ZrQ9yffUlqz3Pj3JxlDRQoG7Y9C3Kd3NJ5RVWCxTzz2lbuWDMzc2QmNOxlU075YWFyTEdN
Kr+5X7BBj605RiNmPANxlgUT0vKKWYBmlXypCP/Eyn8vOj7yRHUYDOGSj3vWk6o5j0lbHOaI7+fn
V+ZyL/7kvuSOvV6qqvtOgiVbgugvvAsVujMnZdpsWqTwc9UXWsDH68NmObe1ypeMwXDfJ1NXnwjv
1AvYoqfW5/L3R+sztYhV0Ka1ZB2PxC3y9/aIFLinu3ERS2TSTR7vtc3QnMVfVY2WSPE3nlN3LBY3
aa4UYVPWd3VOAMmi40GWqyqPz2/uU0vjGG2UFyPaWZCHMW213qmpmO5tnr9Y9n7i6Dgmi/xoMBNb
T+fBFsv4gaH9tfklGmJR+p2b77irRzurSDX3xUxXxGx2PygTfdoS1Hm81oY5RhvVgeJxnM+nvkG3
MRstTfsErTB+ozv3L2D2nOY1kOqmDT4NFAFYm6y537Yyx2YV2gqCYBT/nTqnPUVTkfCdumutUYzO
sJLMp2RB0hisCTQd/RfGsVYVziZvRoy+1kl5sLFCT6ygteeyOxdsyaMYdcoQo3P6V1/x5lxUhWfq
iTnWqkBJjQYdDJ7sVgMOjjaGUonVLzb4jgt9dNjXicm82dR8iqZ8SVcCsA8x+eR3RTHHVjUwHm3H
QgsU/96mS1n9Zeud+K06dW7XcR8m05WLPWlVgtSCR5+CeaSegzt2GubRwLYymE6yD9vjuFafR7uP
noM7Zoqe+rVGJGxPtUjQBlFXTWoHKj1Hd+xUMnStVUGCqSeWvB5RHnmby6LxK1G5qNPVcnSgYeRs
JyBET/c2FtExmIJ49Dsz1DFV2q+JRgPSnG1cA8oaMBNlZqHTVy8XSR1bJVVOh27VuFnzsblL6pFc
uss3v2CY0uuowA65YQUATdmUsD9ITd+NnL3zm7hzq4Jyodbod5myqgzewD1+2qj0zK99R8I98gJJ
VWlJWjll9VLGR1tGD51CX7XXxIljp60agyGJrc2CaqoOTS3vJe1Dv8PuQkRQFl7MuMbBqW3WPyuw
UdBIv/Kbt2OlcbWAk6IOtgzDjlO60xGYkw2MRX6u9ztu7NGiz0VkS8WHKQM6K/ydT/AD6VjtxC/S
cGFntm9o2OToDNXdsIN4R34p0cznueyOkeZx1cu5Qi9AtA3bQWuDqauXKq+XQX7yOLiAAR6H1kkr
eGUCPWUg+0peo5GZvG6C3Hz021bHROlEpwEAJhzHMi9TppffwfHhuaWOje68S+q8VDYbItCQkHj9
1PSxXw72ewbw0XHhC1+XimHsoB4fuN1eR3x8AfH6xIK7kFr0fuTFxIrpFOZBcAjq/L7aQ8/8QOjc
pIQYI/eABie0sPyiN/kpBjzJz7WEjokG4MeAN8eaNGX7Dui5c65LP08eOrcoBzKVrUh6n7p9vhkW
CqCZ3w0aOpGu2aJJoDnOZkIX93G3Zu2Q+9VBQ8csqwagfpBMBSejf91n9LrL37yMJnRMsknqwezo
+zvxUqETJHkX78LPT4WOPdoeHSPbIqZsG2vysG8TzWrLxqPfxB2LZG2+tugsnrIxQK2ftuomyZPf
/cZ2olvVVGMEpungFKFlEyA08ZmDVsHLw/4Lb4aD3fdNiCu5rATIA0ceHNHCNXsZDuRFrl1sDDjh
xKM5OPXiw9AdYyAxfNbkXw1QZVH2vC9BsmFjoC2WC5KZ9OLBb3DHJhcUyLetRV8DKQ24jFB871k9
eZ0U9JtcL8lgbaiCBoPHTfSWWfO14tvguSqOXUKyYgv7OBnBxYCWXIy92tl3bMc0yVIB4r0SpI3R
fnhv46K+6/kqPFfFsc5y5HODeBYHBe0Q6R7Wv4IIzCvA4oljm2ti+aISWP7KtgkYVZ6LDrjjnVRe
roW7PBFm0TwH3mjKCm4+B8v8EcWHX72OogvWmhkLB8GwLtYWFyo8VaUsptIrjkBCyDmL5SyRj14x
8XV9a7vwbp17TwuNnTuz1hKg75KNWazY6waAQ5DLyZeaHi4H+t+hG3cBULYYgLm085SFpnkHNsFD
PZReQQp6ZZ01iYIWvdboTKU0oodFk+FAeP3NbzsdA91QURiBwB+BAABl1bjeVTL64De0Y5/rAJq2
mAYDGKyaJW062Z9bXftBF9Brdr0qXbS0yQx8TYYSEji/9u6NZKNfXR5UK9eDW0NHVYIfKOuAT2nS
0Q7Bq2AOt/d+K+Pcn0vA4BW5xY7O258jIrh1jL94De0ikCZcPKUR3ZgpUbxfjbkF05XfOXTBR3Me
K1E3fMj2GYQp81LQY9C0X/3m7RgniDjycVgV2q9Lc1B8e6Pjl8LOi538xDRdmBHI2WgzGzlkpZ4j
mw5S1K/RGLymS03tdvCbv2Ok4D9eW9VFoK2o2B9NyT8GRj34De2Y6ApIYiNkPsD+5/FmHgeSkpn7
lerQ4HJ91AsK4qqBUUyck496DtqUB+Y3v5k7NlqCLEsNYTlmEa34ctoZ2kdSUFWU6uj3AcdOeVkU
sY0bHMk1eFdp+lD1fm9xtPlfr0tTRT0ezBg635J3U1j9kjPhVYbiLqioibdc9/M2ZCzXNAtiOr0j
oB/2guKiTfx64hSkahGIzDDxcN9AHdpnIAP3Q3ShD/96cA26nmkdyyFrZ3QCh7M8o2XGLzuMrofr
waeBW8sTLDnc46t5o6+aaPWzIRemlCxFY+u+GDKZF20q9+1VMoCCzesUulCkBKckXKkaMtLNbxnp
74dw8py3Y51DheqEAHlaNor4Y0WGd43qvR5xoFG4Xu185VoVBr1lAiuTJkCJp/2mYz9/6MKFJnDT
BHWX9KjblGilpuqdDRK/ENSF04ch3llgNeqzomK6ThckKk42DITfwrhQpLpOABurN9hNsulDbIV4
31Th7rejLhRpriORAwzXg2tzoAcy8je4Sf2q59yFIdmgjbto7XBcuoSHCr52A4FLGiez8srhoMJ/
fWqAnw2TAjwYWVGU6NVskTzL8pz3fnUE7sKNNmVtPOjcZHEAtk5Q6xr9zSZy8Xw0uoAjomnIlyQw
2VBu41EXok6xQtHZyxO4vaxSrmsczqHJbCMoSEcA/Aa7jad/jByLnRp0kYwMQgsjB31nSnaqPqtt
Bcuj3+yd23StBjEsK9amK2uQuExgvW2I353n9p03tANniwTtytDG5mYbw/G8NF154zVzF280s5lt
pllMVufR/hGU1MUNOkzNS12pHIf7JxGkCzhi8JMR3bCtSZv341naGARyUd6JlxqTn/qAc62iGKe6
FmR6eG+My+0wxL+WPdhc/RbHMVmpNAUIeDCZ5NOHqhjfLWr64De0E/UW+bawpin6DFoCf7TdAuJz
tFv7HccLO9TjakiPlHkcWG0yNtTxH2iSXm+sguCI39Sdm3UKg3XbWdRlsNQkFYC+pMEWyJPf6I6p
DluAGn2D0SN0sKcRMXeqfQnF9D0E/dlxdOy0r1bA62LaZbNQYNpHtbiGs5EgGjwUOinUjTbb8sHq
sQE1EQtENpVlHz2gxU32b5H/G4cPYDwWNwp1ye6mVi0XqWwqJOOLtY9DqCLwuh9+XXoa2EO49a36
3JVl0IPIcq4oeKSQaz9JY1d7bAiyZAfQPE/rLYgX4zqjci35bd6BzQDNz8gm/B4A2budCatHeWRy
xZhLU037uegTsHKEDd3tWUM2YUevt2btH6vkPH87cRHUX0YS9X0W7zSZs2HF7z2aaY9AkTBHYBmR
lKiD2GRhbwq0Iyf3Im7RuBX2O/0AddAlncEKemuqcdizsEviDTQ6zcyP88CL6DTLhSOF3ZQzPxSN
0R3i2SQBPcgAPoxUd9VAXi1tXie3DfgYebZjtaG0wdR8u+8BxFDaOeRHDpKRPa3zId8/NKTupF8U
4qJf+hZcmd2edBkIV4I0ovV9uRd+XSsg2rk2rRA/DQSzpsu2zuTQFwmXOlv7sPKM/r7zGzwq2emV
W6Es6zIRlR1SVgE0d1ji5xdcmBrjIN5RfWOyUui/cq4+5LLyXPT4el3A5b2uDcW8I5tnY9Lc5RHx
88Iu9VQ0A1ZDkP7KIEu7pnmQqDRpwJXm5W9ciNoQFkwoVByzgtZ1uqr+m6gHv4iVOU6+Rm/u3Mqw
y+xmzRu0f0EYgk3azw8zx8uXogptS8WYFYPi9xzBN/oK7PTJb10cLz/oYp5nM3eZAnXfb5BI2VGJ
aOOXOEyeuLddmBdpK7IHDJsqCg1mdzq2FuxgQaT6o9f8XajXpPslD8qpy1Co+rYYfhcFo1/LBcjb
rg+7scsw95vssjJMgCObRgm+CpbU9Jvf3J2gZgYfFoMChcmaPtnjFDyiDDX2mIJU1O8DTmCzmLYh
4QqGdBaCTMjKBQzkVeUZILh4LyOXvN4LXOGo0QwHIMrEwQRLmPnN3Tn2S4he5qhqO3SiNs2dYHME
Bvh+EH74fu6ivca6LQBk6uDJIIdxV7Ys/ANv2s0vFeyiveSqQU00Il5FKmu9zXluMxAbS89D79xO
lDU2qS4OHjRExWFc+iK1k9aep8ZJ7JGBgDMd72SIcrTsrxJo8792bbUf8pO7oC9QYbV1WSuTRQKq
HbcqackhzEES/kLt8InGN+4Cv9APCnKzBtpNewPymgejqrk75LKl5ghRlOABHWFvgiBp6iOiOJUc
igSP0XMZRFHnt/vEMWw00orQ1og/l60H13WgaxBQ6LI1jd8z2gWIQdltx5vl4pnyieSvdFWAO2Hr
tyn0y065ELE9tANaUmmbgTy1gljIUi88rRWfPWMU4pg3yJv10FJ8YLMUsOUdMjBN8NXLdbgosWbS
25TYvYXkUjseQLn/bZ8i34nT60uh6HcygkVPZ4htzw1Vd5SOfikAlylUB0FYLGAQySbQgR9UwFFq
WPb3foviWPVUNkNBlrnNcjvEJ1uCAl9HledV6eLEFll1oIkd2qwa1uALmDfZ1wHk8H6PRRcoNta8
7XhLoJ2pizdy3l81ffECl8vlvP3kqejixIoVdUYxdG02rrS8Iw1Ev6CMsfhdYi5UbIFAWTwrpjOm
YrBBgV21vyulbUs/M3UBYxBv6phoQ53JqK0PfRLfKE42v3vAhYwNpi2KPKnaDGTlyz1YH0G6N9Xz
u+fP4yU4/tnCO4FnsqhtXgju92bnPaLmcCyglBSSrjsJPIxarxgLfI7X5gp6jjw309BAA09+wUP9
tZblx+d/wc+PDijbr4cGKS5Kg2jHQodgl9fQw7PzXwvr/SpJzCVgrBArt2XeNlli4hzZnTG+1SKy
XibFQHZ1lTvqaG3XfcDk86LEG59Qk4Lzwc8dMBe/k4hdbtGIZAe4pAnUSyoUf0F43daz12MRHADX
04/nJTcII5qMlGI7xmBgfAue59zLVyIBfT36D/7sghQrdKTA0f6GUhNZr9lzF9gYbyKPBYMWRGgZ
tEZwiuqLvw/B6ehzNLlLEayDauznpILDjOgHO4XvC5J7HRywml+vDShJQOY7YO5I+UKbFMKL4PUj
rZfPAfX89eg/+KeJHHKQWwbmQ1tGfi12oHq7Hr2pWmJDOjaXwCB+ZzSLsqmKYq9FZy7Du0HKK8z1
xWBLpMq6Pn4X8KLyXBjnKWe3qd0sRGkAWwGv2AEdsf2nvUm6+YXxvycr/u2PmQssE5zRVQgLbyZs
BKlEQloLkca5H854iFl6BpeeGI991EBQJ9jwKrg3su71J0oYP1tB91vJgy1KIVdsQX8A/RX1i26j
lR40OM+rw16U+f6ly7fKnluDO/dgo3r9yjTnr2ZTT3dbVc5nlkP/NdlBUlGmoa74/lAS9Le8Uxci
iYe2AsXyRb+QQxFYDwvE3YD8fFObMtiP+K/H6jWjeTd7BZLMBcT9oHkuclK/mROV3FNoB/ldsMyF
xIHTMuqQHVUZXSFHR/t3CSne+jgA5kLi8NbcdAChpIztwNk2lN/SbnyJ6eJy5n52VJyLz9pAF/u4
gpHTgEzjdoB86nJMNqAejgteCMUtGIWb8pPfL3HiBNInEaQJIpUFJhDQDFya826a4le/0em1Ryi3
3OKNyFQ2d7w8Bvn+carpS+t0iTF+tk7OM52ERWXVYFUmGlt9AKqaQ1GwWD+vNQleSA4+9QnHG/8g
+B5XpgRkRvuhr9J5QLL9tlrQ0fbCo/qJLXdRcz94motqUupso5UAHRY0p0rvMT0A0e2XVQK/7fWO
FCVyJ/nQYNFaGgDoJj7CEXnGVNJ5mAcgHEEioFUZQTluYst5YuT98yfpiZ1wQXQ/WPkVtAmm2wSq
0OcuTlD3F8XchF7oAubyZf/QPcgvTH/odS9+T3rp19rKXK6ucYPoa7UNdSZlNJ2BuY7TvCR+jxWw
nl/v7FwhFcksKbOKx/xs5k0f46Tyescx6RjyDxEGMld338UXOuG55o4ZX8sK5El/1hX1eh9CIuR6
STYwlVVjApJ1VdFXF4b1Xvhl8f5WSnxUYQKs8EKEC75yCOz1d/U4TlkQsQ/PH/aLp/+JZ3MhdD/E
VRQpxpO5CHxsScPPfqM7Vgr9nyGPwqDKZAWZQ6BeP/bF5kcOy1wMXSFkEczUVlmz0eZsk6m9CfvG
D4rKXBhdsK2oG+qhyipo5B1NGd9DOHY8+a2Lc+/+kAuYNK/WM6XLr2ZQyi+pyIRjn2WXTH3DoXzQ
zv0b1XRZPXR+l7gLpXM0cFrbhlCHiV7wvE8dRsc+f/Djq/EixwhyfCPAKOy35o6F7iDpGefJVOha
gshRC7GVPs2HNvEDpIGQ+toD/CDaj3m3Q1C8yYdX3aoqvz5ICDpcj/+DnFwvkGdS7/4hJX+SMvp7
qvYnTsDF0nGxE5BTFWVGtoDNr8JKR2gwKkC2+QCmpC6rIG7KUtnPOjoJZNeWQz+paAaFpRHbubdJ
2J92Qwr6WcsIMt95zCrplYFnLsMP2O/Zjqh4PFVyHc5RPoH0N1B+dTXmAm/YQtneqGk8sUWXQFlM
D2ipXP1OnEvwY5ceNDlyG0+bhJKSCtVwkMrTP3HnmoyUFQHr5/G0a1A0LFDmDgfoX3nZCncMMdiN
7vOG2VMBxPwxWaBYCo0Gv4IdcyETO6DPeTXDmUpDv4yafdAl9WupZC5iotR4sXeG21MFFW1oz9D8
lOeAznitiwsJ/SFWAd7TqbitWBjbUzmqsT36feASkz66639oQaxDKXBbbrVtD2UkCPvq9wHn5hkm
Zfc5N/Zku9KcdAzdB5Nwr7LHv8SU8H6ImGHanqAcoQ8LdEkPmksvsD+Edq6XxsiZj/mEwWcLpu9m
5H3aNdQPcAqxvevReWlBzWAhRENrYg5MkTpFxvaL36I7V0+n4hj6xPl0mmkJ1fYgQDfhykO/IMtF
hELdW4U8YNOpA8wr7dRQvGkkm37zmrsLCOWLMYyIfjoFCUpwXO3Fqdoiv4VxCeiqYSEdUAHTCYym
9G2rV/VFhLv0i8ldAro9Kpd+snCRbQshNPCcg56IQyX3+YV54pnosnw1RPVUdSw+i7yJ5rel1VAS
2gRthjMfDG7B5z/zREzkgqnymeWc1HBoEY0hkkej4tCu1g9MxVwwlSlzCVEWjF4UbQVBpBrwj277
02/qjjNTNXYAeMbhZC5SZNA2qo+jzv18jQumSgwPJw0dy9Os7HzWZUxTMAzvfs6GORH0pvHc2Idl
OE3l3pzJqH7dSR15bqnjyfZS872DmNvJxKU86GatD4Ck+sH+UdW/9mSt3OQk49ycAh0Mh3o3bcrM
5sfchA7o69GhQtwMBGrXEN/py8Me6eYQg1re7/pzMWCWbEg5D0V8rut2f9hDs/5Wh+1LXO9PmJKL
AsvZshALsPIpGgj6US4+3lDyUo7wqdGdty4UbpCu3pLkzAOkzufga9e0D16GRC+5vEdRgYImag6B
C3kGz1fepPMOgN9UruPvfsM7dkqajnV7OCTnyOgWGNYamtT3gjRt7GerLt2XgbQXVL5Mck5GktYJ
vWtCz8vPBX+BiKufNuiXnzVHKHzBQ7R+gETmIr8goFDlpeyTM6TpqlRBxe/Ay3h54fp46rg4ZvpD
rxgsXDf/d0LFTw3t2GgYAVTELgLFAvCHizgxb6t3XkflX5CvfySkqbCaZNw06LsuF21/9RvfeeS2
hvR1Yzt55h1ZwXHOR353adV7iU/wYow/eem6eK4qUIbHSy7O2gQQM83nWb8ZZVgUJ/Spyvy20FCd
ez3t+f9R/Hrmcf39dfCzjzrmKzeat3PdN3gprEu7HkhTNdSclILVNecyX1WT9p2Gnkzash53+1pv
Qytvu8aIUp/xsK4VpJV3NW+3UFwO8s+MLYDdtSEgrSpl9bYvS4oHj+nvlSCxeQ1x0oWI2zXgsoeG
4t4UQZWGLKkgxDZM0uBR1AlsXRolfVd8NkOpLUm5kpW+ZbsC3fNxw4NeFsetn5fhoDZWrx9AIbdA
YTRS0OABzfdWrSPEmBMbCA5NOXC3qxtilAA3vUbOctIp+gqgiQwGVNm1vxqqETvWso6h/6nx58H2
fD5CqREUphYrpA7zvNAq2ze7QnVJhWxsP3dI2kqbrgMJyZJGsSjKT23FVfJVFxZKPGjk3LtBp2D7
qrffLyC9G7PrbU1bkEaNh2WpRqKOEo2T+WlHyYaeApqv4yGPcdKSwyyWLdJHOu9R+IrEs0jOVWR3
jb6wvttuQOPfHqQws3hdh7aKj2HFFnYopegRhcU6PsYaBLhQuitE3wK/WXdlcZwSPLHkARmStegw
s74dZAoRQIm+kbnKci4RNsKXCG3vsFtdWaVDjMguTUjQaMj/tvSPftLiuGz7Kr/aat/Y2QxdpN7s
A5SUfyt7KuUbNuWM3e95Gdvi2OzoUeHnZLEEjAi7kLZ5jQ6NGPtlqspgckW4J4U9h2A1RjSmw25X
N5tg6/Klj3UFHfFuhtL2rUQHUvJAIOA5boem5VASK+LgQgPZ2KZdAnSx7ABtgUFH2tmeNuxl193S
CIk0eitUG5epEio5C1VCdVasix7wgN2Ccb5ElvP4KrSjOi0DfNQb0RW2flhXWrQxjkNH7blm0bge
uqLkFCyx5dYckeMo40/xxNruVbLuSAKVUWghVb2YCRrBaRJHkiKCmibG2AES06x+R1Q8iDMIVtT6
qqULQVY7nMCttqPMPM0FerfCbRQTkJwCJGthY7/QJkDPzDBLbj7ISJMY2uZjVH9BHiRuYDSad/Nx
rKNufKNsWIgHwLN6fa43iTahpAu76G6PAqruSbmo/c+qbTqLjpkh6PibHkZbnlpTbvTWaFL3H8tA
xyGFe1OFiKDAyBPzJpwmRb7wOs/jLc2LRBfZssxzdBcOFe9+rxexRQdw3ofoRi8WRhJQO0ei+ZpP
S6GKVPUq/hIx0ZuP6C7fywNUtXF3oVWi214D1TfG+J+7gH/t6mHebzU12/ag9pAQSKnDkr7WHMf8
plD0fzj7kuXKcSzLX0mLdTEbHAAQZhW5IPlGzZJLcteG5u6SkwQnEAAJgl9f50Vmd2d4V0S1hWVu
FHK9gQSBe889w3ZrBan2JJpSeZfqmbMdSRtVP05tvW73DhqJKMAkGr4BaXFxImYn4+ww/GgRn11f
STbF/jCOsisPUyRCfTVPyI3NZRIn0ZeURYl4D11b3kJCHpwxRtq+Qx3SZ9LRqqhgEBQUa7Ol7oyQ
h2U7wjwo/tyJJhGF6qB0fOC+7obbsCqb8OTGZva7YKrlehReE3bgbG3JK0HSZ/lYT6JSufI2gCei
JMJAh9IzBPktm6H6xpDNklOsmOqekaxRjnczFbzek7odeWFXuWDvdDTV9R786VDfTGJh3zt4Agx5
icROd1evRGMrqcfV7Rgdra4KkoxsuWolDI73ZTUrKFQCvlSf6tSI5NQrpVhmy0Czb3UtpMqrwbRW
ZukQlgThQEm8nkzXG1tYF5GgsGaIwmzoNqe+xFbgExSUVCHsDFd8iiaojM7kGphhN1wseTIY2m3t
7eQgTNtRpd1bRLxjyD+rBvhyIgqC3aBcqj5KPMI8l10d9TnrHR1f/YR8Rhgc9T0sz7K43bbm5CxU
sp888ul0mdWT5Sv2+025ccykxTHtMkTLLua7m5eYviAjQ+NAaOFWIx47vMrlRio76x1CHJHwvhsc
0k0zaD8HeuhEKNrdslRx57MqtOl25VZTAcFcEf0kjqT0qBGhZKvrk0EMWpBtummCJ0ZbHRV1wmYk
xpIlFAX32yZfNNlieVzs5sRh7segRMBpVPrrGOla9yQ0snkCihz5Nmu6zoo9XOMrexYtOphbDxQi
3Sdtg/POliWdwPNO6vW6r4hs83HToc0TpXkA3YI2ZeOgnttM+GhJ20OMMSTW3jcr4dFxxMhY3o5w
umumbPEJEm7gK44wey3CUxgLY++omYLha9SsaXfNuthgjQ1139XvcZduWAk9LNvMbqzSZtnjm61y
R/s2Mc+sXerybKpGxieIaFl3M+sIoVg7bEcdK5BlFJcfG6yS4WluakmPZmyqCtxmiJiwRlL4KJ1r
ab06KtnH4AxH4BCTnVFIPcwW64foCe+Zvixhbde3Dqbx0KSLqEZA8wT7xSoPsD+VSO1W65OMmI2P
qVDQutBhAFm1X3Qa5F7NFplvenQrBCQLD3MMFNL6Hh+X0rvV+ao5BkOUzE3WlG0wf+r7bRzOoO7W
G6qiYVu/49QwQwuPVELCh8ukJiZ5XE98u9mISJC7rvvNl6cUodYCRrMMiWDXDhvydIf0C6NPxNbC
HlfLBL2c3GsNT4AKl9GYzAo85QR+ddU2V/nUOO8fYrF2IkPSWMr2POmxv2Vt7KS+IzZMp6+bNiqR
WYfwc3rySUzW2wSrv/4szYqMGHzJeCzvWkDj7jFtcRHPWyT1WgzxTO0R53+gKlzcqF92buPcVSie
7LjhZupq2S+uDfpnHnrb3yNpfV3OkwQD704uTd3kiaxH83lVPKJf+oj7tM/gEEYGhSsVd9X7AM9U
cg/X+kR8HeG80r5N3dRG6K9giBjnvYwkP/bcGo/6rSYIu86mYPY4CrsVxweqPVjGsoAuCB6GScPo
QRvlwTe4yvskJzjU5Wmbp/YTn7G+dy1xHcubdcP8pedD8koj8CLy2KelzNGLJhyRhSOfD1GH8Osl
i1fST7eqnmpIjkPYd+6VkN14E/fKBcjYhgLrqxwnu+5p2CTLXTgQDf9dzFnFpyQdXL1fOiTl3E9R
HX9ODVJeCpOUgALSJrDs1g+qREq3li66w/wpHh67lpvtKpTDNGLDTPBsgBYPolp6aGGiqm/KvhNq
zdMkqe49mC9BvrKmXx7N5iYIoqF7jVwOG8OyzREP3Ki71gBjyuq+6qZd7KGr7faQqIW7tIyHodCk
jHAnmroLb5JZXZJcmbkUPynYvnWVi3ShUdHPEwnnrN1W/yrTDq5J2dZD+PdJQdwWv1SGjdd6mFFx
5XUlgzyUcIXzOXb3JeOOxfY1mmF7cKyYUzjv+UpQpscQ8Cqb+TgJ7KnBRyAP8zhYniNoeypaX8/D
oV3xqH+hRLtlH/G2C5FMomF5FiZNnBZxByZmZuJw2wscRs5mmpbS3M6gTokh71nPu+vWlP4u9ZcA
1E1v8ZVJ05bsUiTYrDhGUXIUekPe+IvrlqA6tWyg9tPcleHyOOg5zAFLT9Gb70q35KWrkyPKNcRa
tlDRjJi6ZXqV9bG2CsYaCXTVOGzjfNusUNmIMCRWWE2iY4V64NX1PL6qYKXUZ0zIyeR1GLEKnq0q
ysYxkeycusq/J1D/yJsIj05/2KTZxM0URPqeOFi8ogWK7XXF0mhD7RQm+n4JFJjkduU5g4z8BhA6
xNpIF43hRg4l743XafQ8uqDatZFkbdb3q71a2k7cVQ4O+kWLZZzTdXZ5VJfNEdHr4npmlT9X4dq9
+WqRTyLudN4Q9tBR3T9TKQaBgHllQDuZu7adspU0wpmsQrXr9x7xbv7Ilqh6YeGqzlb6VBRYzizv
Ebe97gct6dmDvpg8uyDlT1XnwFooIjvw4Fj2fHFdVmLlppDJ+5q8N7b09plSxny2NP2agsoZLs4X
zcUP4NT5dYNtSqpDr5CsO00mQh/TxKMsKraEwXkJEwiaIZ925KzrsBS3JliN3S/Q+ZOXjXURy4VP
Fns1J4pWb6hc+2lHbRRER9WoJrmW69IhjbUali5zodLpSzx3itxN8RyrHWwa/ABLAsPq0xgsovsS
1MgSljn1DW0KYmRts5k2KEWFnXmT6w41isvKGHniXeapn5vva0rj6XpZx2X7hlAqh3KotinF6u7w
bFGEw0MwJHdw0Smjg067Rj6sIXr/3Tgkcb+3HPtOgY6m4qepigDJTryP4juIaiS9An82DotQrFSc
Qsim1h8N9AH93WxsqkjuRbXUZzOZmLAMhiIpJlKbjDr/gNaYR+iCQdncrozpDPaFeuAuvFE9Hsmn
Fs2q+9LSVpySEVOJ2PSOI2w+boO3HjMttMnrSJFSCBC6zrE6UCxl5bxgdzd6Xoulr3T6yqDpty+p
w97+2ZhJRLKgfApwXpUDDZYn5ja5VlkQRTzOrC11n4sy7qJbs6Wr/5FA7t+96wZqtl0qEfX36Lt6
FTAcoKO+R8YzbdfdsMDd9SCaIBrvGZ4y7Igk1lOK7aleOcDCeoB8/yhjUrtj3NYt6Ytk0ygBso4x
VsEGfkT/gYpPTrlf1KUWQYyLdQ/Sal25g2irVr90JhiX/SgDK07GiJnijm3C6WKKunV5awWFFonV
rTBv1rXTslcV6YNctHN41UxVyfIJs0d77aVMKtwS3kAMaICy51otE4rSicFO5mXe4JILI4CpvB6r
aDq4ck0fpzjyFtUB3TZ157uuyzTyNDOIwqo5Rr5YKse9dyn1eYUI0vm0xQYNWi1mnhnrxkBldrbO
PPDQ8frHgmiTdLe1hNQFc5dzNasMMiaOJcrs6wbWXFh1cdjH51Ii0/RKVX58FSkuQhFbm4RdRppg
Cl9Mt8kAVaonwWHdsK4PqANCfrY4AuRX5+LmgBYgFF9GWJzzOqeiIs2jWmhdwxI67FkzZ1hkNM5T
7Koe3VwA4dzG67C5TaUjW67xwD+3Ie13XdmwAY9aOZ9HAgTjBnhFTO/TYWXt2S1afAMS8xmlh40Y
IlUYKOAjMmKixyGqyjf4WcimqHpsio3U7Y21BJXZBoMRd+p4Wudq8wgcAYOeHBuu4+5msrHpbnQ5
m6tZqVF+RYKz/Qim1phinQPcxmTlL+2cXIY7bYqzfU3cC0MtYYtqm1Crg9dk16xzvN9DrCxYJpWr
UBuAtrAg7C5dgddiJzTAd6y8dSD0IyIxvSA9EH7rlxbFWBZRMNBPgNKFuY6ndAruYw4SH0hBfKiW
08Kqyna4KbMnBoruUja7lcSp5DuZsuahmpANvwshFJh+rEvULnlQA7l6g90BEmQ1TU2yG+rIR1ia
TfSkG/QjBz9Ik0USG6jKllkjxa6K5vp7SnsTvcRurpfc9yZEt8OTblkzuaRd8KVpwvJbeilNjukK
lfmzZ+rDtp1NUO6KKUQx2yftfBTIBElzwXT/MVI8slmKyI4csSAk2XUiSX8D/9p4w0Xw6Q7+lmWC
Vgah6vs14o5/VlUgoD9uRAlkMBA9nJGMghVHgaKkd2fKxvF7161xiH0uqeXwAqc2IfNI1y4+Spv4
d7TO1Xalu6j86OtuExQB3X6JrvvaJdNzUBJGP0JEZtB3tJY1kBFZ0Wsx6hZ7B6l9HlXh5O61KLmC
1AizpaRiFblvAsaAZqP0IFfUwVB0LxbNomK1G4l3C1vMknX9vD7BEzlMXpUWy0MQJOY1LXn4jHG7
3Q5jCb3FMRjRGK9dvy47lqQw9N3kol5xzdurIWxpvWMSCdnwOEnG01gLMeVUDb3LVFC2n6HUXbOJ
QiejVOLYlV5VcM+ZW2+Y2Op0P5awGNl11K+HCbESh1B15JQgxxh73hCbl1pU1N+paoR6eFng95PR
aS7tk5th8foGDw40Z8a7pP4MaDjmGVs8rkPkpMS2IOIwHlFxcOiPU2Kf65WhSIwBJVQVqgxJA9jD
8i0oNGjwdEfTCriJQ/45ckq43ppDpIh6gf26bB+jdIQIfEUCw2ODD5LFzRKqOce27a3LNLCx+E61
NU/yWOHjPI9j6ca9nEpZ51HClft24bqexqHr+6uV863De7SBeWzDxHV3ccUdCjbfxPs0VcF4BIWS
uwdA0cMO28Qw7DWl0hRRvXQhfMmR3LobHcEmAh+YM+4F4IhS0VGh3XYgLS/e20cT1HLJBzqH3TkI
ln47wH5sew8oYpOyDtGQV9U2rnh8yhSXo3Vk14pkzqfJunM8hig462a48qqmj2AvT1AIwN8ROAeM
GuKEl5+DDXTyfQqFjH8GzrQuOIgMCd9tqquIIwOn3QAPmG5Ww2nAhKJ5q7fJ9DnuFATvaVujMseO
2S19Xk+lgn85zIvEDSzSUp4Lx9R8WsdkQlw9crORXVouLG2ygML2cO9EfHkIA7lUFdIVJ3RM2Hza
Qm5GuJOFKENk0bjaDo8x5l0fM87O8qS0JVWxwFGbNNnQR0n4Miao0IrFCV3nPFkYtD6W+falYXB6
KQj85pvPHQCNJOuHua6fybph96iCgIVnxsOe5r2IuqgYgYYt+TgsgLYy6PLWqpDQcZG7RE06fUAg
SLNkHi7Qajf7ko6Zj7YEFYxQof0eaKQqZBRSD/GALJuFH2qvHP/O8KXcq0GByq6pCTueJx1vo/uu
cgSmyQpNQd2Yvn/0EPC3+0ga0vuMQmy/AMCsh61Co24BOWBRrygKkWteTgijFqa8qUfSbKcwIetw
IxRw2oyp2MEvXdX6g9C4qW+jrRxABSlJOxzndAmie4h4OcMzpePNYf4zeLVHfqPTe5CLVJ9jqkLn
b4PrTYCAxM2mp6ADnPKZdP3lDjE0PkWohZLQ/aEB629n4Idt3lazNXMGz6EwuiIsomguqQ2GYwOe
xfLNRV6YomSstAeH/doVmirV7ro4TqciQiKNbbNJ977eoxvsxFWZwH4N5MvuEg+GtLSxkHUj1nNp
CU9z6EQqQQs4MRA8UE3ZY56NUehYndmyxhtqFquSI0CCEdP6CbVdBhw2bLOgtZssJiyDbp+sczh9
8Ia2XYDeIUxsnFUxTEx+qLbvoOdqMSGzOEx71IlJHnRaHFikIr+e2jCN0xd4Rvf22qG1XxW+eJPI
BDXIGo93lDfd+hrg24ggq0Mbj/P+4maNhnRJtyW5nS8d9FUZjO2K4gt8WRhM+bKq7nwfGjQreo4Z
HvCkBWbFc8xaKLpVYnoxfG88umvQqTzvyYe2SzChGOAUDdNoIbddkFYz6rMR45zeUWweFUrFVG7v
bY1pxJuUbmz3SZUMgcPVVfGAsGSmm4cE5T6e5UjwhO4VSqPpo1YJdWlmQwG3ZseTOf0UAp9rEP8C
/N9+EzqZ2xcVzGNwP1YY+Dwsl0YVjgU+7aKcLxN8jSGbU7o71T3mXlgkiYr3mqPxYTvkKM7TFUSp
FXX5hhnSiE630bzhBaHMpldOYZJ0jeo6ZdcoixLzNHSy1WdexW48BTPCzN9iQkqSs0vNtp/HPpiz
jkcuuB4JDJ4egtnMDfY42NDnApXxsPNzn+rbxlguip4SvnzaOrDI8pQYDHmauBtgMaOrwH5PmVHl
p9gZbP4D8g3ksp2DDfnaKFnha9idnKpij3oKGdR5yFc7H/04iPiogbK7Q9eyjbwAVaT03LSYBOaK
9CAA7CDdJDotsDY3YFsXRC3YTzqK5jxmvQwyPHM3TBmfYNZIYY+xJyGo1dO+CULMe9iAEY/POkSs
pZmfVkULXXOaHO06i+2okjUgAyzdIjcLYHoVstLGWYTymobamBdq4Kr+watk7q9R2DZ839F6Fk/O
YTRTdFUqK6gTQU69b4ahY1dl1Q3tk0txYa58lLbmTGZE6tws+KwRIsf9Ru/lzPvqvEot2mc0ek25
5GRGtTwVckx7wNYJPNoaks94mFWQw/uDeVVgDshTsW9BDb5YGPMvcDAkJsyFgAFmv+sxCjLzCQWY
xoW1XCp9j3N6APAMMg5GaajdhH+KcdkhrhK0brdnTE/Kdb/gSd6LbePXaKJZcBUFpUBhxwjc66LL
GC+NDkQypg6t5BO93roRItcw8qP94ppZwLSinWEdsreVWn2dhY5RjhlnBNIVmUy65AzAhnnrF1jW
34+wXTDR/mL1GgLTWCnS11O9iUXmoneuLXyvL4ly1rBbqstkOCUQl7vjNKg5LqrFq+E6MvCpAURK
MG8dvebzvgGIH2aBCcNgjxmlbYourQTaTjUZhQop7pv468oR835VbpVcH2HJkFhg73Wpt/d4oHH1
TbUj6U4khtTxRID6TjcQaGv7qYMlNWqbgSbrdZgExv/wE5Xq2vsqMAD41ijNN4FyJAO+PGO20hgD
st9kk5uZ9Mbl1iM49KTxEWQxb1HU5uDGM8zMk+TCaFzSvQCZ9LZbkAz8TFxbmRttt3A4c8TebZe7
zUsIhoT1iG43PJHfAPMFcSFpGigDs1b0M7kZsNr7HSrrFgckNtJLm++0cnci0Euc+yAINR6WdNKQ
Syh6uYJCAa5CJaGpuDN86QIouxvevM+X8/Gdz1Cqw96AVqdpFD7MCPa77inWOrJ49iraTzZTqYHQ
HxATgqJ4TRpSxBENQK+Jq6m8jWpu3R7bKLwQl25olg8rV7Vejxvv6ateZ5ageZnkfPaeb+trynu1
3F08HOOj6ecy62F2M2WoRqsLWK7WBWcuBpj3qfeCn00NpcEtBiU9PBhQG2+AtqYWqBVFcGVC7VcI
V6c0g7AocruVqRaonZ7qR9AkQlREC0KZHyWYjTgXkbEB70axpKV44YoIkHsHgnnWchhKPY02a6D3
S7IxBY8gzjH71vMHgKQK4C0AG2K/Aq3YmiBjFuWrzCh2WQsMsRs9STKY1KPv3K+QhyIcaFgTVn+B
wtrPOpsdQmymQ79Y2sjcTfAPRx1K2ErDQsc1qBzFfxhtYc8b0PSASVVsc1JbxE8GqZ3KHEbJ8XOM
vw6uFldX6iTqC/Zbof1e1WXPTMq7MTJ6B7Rgm8FrDcrg9B/lvJLVm6Q7wqh7XQvC5Dhnm6/pHQZW
w1ywEuLvv8Zg+tlZiPlk6MfBdDsiPsvkE1v+Gp/5Z0Mh2sULxjV43bh5TAFaNPQvSmh+thMaYXgo
yobzPY5JAhBJLOTGYLc2xz9nL/2BYRVGBr8n6gEKiywYaZhMBHj+pnps7FXvghE2gkYrAE7RIhEL
wMUU3a8G0C0aLBmQfAxW3Kc//xAXVtF/xzb6iVhWYUSzNoHm+xFppl3RQEdwA/LglKNew/gRs7j0
9Ofv9Edkqp94ZnoyWGrgFO9hCDDxJ+vHci5UhTq3cDiZ4E4KR5IOVenqh//hCv8Bte1ndyIJfhhO
k4juWYpMDgvbmd0ErPl/+EJ/9Oo/sc8UEv0MrwUFc6T/1urwxaWq/GvSEfITPRRl+tSrqqR7j9iP
rNb+1Mxd/Bdf/CeGmQ1DO4wzo3tg0DsMUpusDIE8/vlt/qOr8hM9tFyXxlLRsH1FAoMzfSmzsMbp
/9de/fKu/8ZtjVoVgx2E6xJtPbx5rUDK5DY+/fmL/8EKJfHvX5zpsHdqlVguNRfRuwGm5HLCfIRc
oTTqVaZmsLGP0JVQ9Zfi+eKfHWHqtHIcNkJ0jzhU+ppM2tzKEPDqn3+h3zbX/+bp/tkPhksfAxaq
kn2fihoItBi8w3AF//vwoWUvCSpv/JchCQd2aJT8JLfmU4iVRo+laeYavUpV75DO+L4uMaKbM8tR
kv3z0/2v35EdzT/+Ez9/HxWa/aq2P/34j09jj///5+Vv/s+/+f1f/OPwMd5+7T/Mz//od3+D1/3X
+xZf7dff/bBDXW79w/yh/eOHmTv72+tXH+PlX/7//vJvH7+9yievPn795et73wwFmh7dfLe//OtX
p/dff4GtUvRvd+jyBv/67eUb/PpL1tRf9f/7Bx9fjf31lzT9O/AbiiYqIlEISTzWuPv47Tfx30Gh
5xED/kIhOrpQRgcknta//hLxv9OIcCbCUEQsAl/hl7+Zcf7tV8nf8RfAVtHT0ZiH2AX/9ze//+ca
+efNwJX4189/G+b+fmwGa/BpfpMD/9+1xJOIpGkchmFCKfLTCMU3/fdHcFpYZwbRxwdVhsknWSVb
Mft6OAPZM8Ui1/mwwB2mbvs1Q02cfml4319HCZ0nTE1A4jwMImSAYJL2VdZ1c4sgcHYTigF8WhxG
tcgMIGKMIzRjr9HmUPk6tFTXZVuPiCSw0wDrSM8OFeheryJm449t5Pa1Bt4G27w4sneMB+s9SSug
oIYEeTKhc3ckjc6rxhRiNm66SswwnpHhi/gXMdgT+gm+FmEUxK8B26LkSlkjr2QnYpM1aTJ8apty
I6e2SYIrIvFGOU3kAqkdWxjoin35vI4S5RsN6BWDN88bThlwDWUAzDifuG9eMDoizyX1TuxRE+O1
43EFVaWT2COrboveRVVilgQC73jG5L3aU5S/txd6COwX0Yxfk14CYNUjMhP6kfdgALBYPwQK7Kes
nxv/AM6b3C8gW9wMadIuGWmRJYyak/bzXWX9/AM84uARE70So5CmdF8VhjmgNgblAgJN4Kfbem0p
2EcEJNV9CU8fhlni0j6YzfsTA+lrP3sgY9kwAQhvXQuS6czHazAw6UmGYQUjngS4ZM+lOEYz1XCP
jH/UtuMTvhZSk8FLS/RRBu00Z6Mgc5qvluDuoo+O2gxNffMGJlIL4gxIpHC0VHvDQ/5ER8L3CNfT
7952TYOrUc6HOZDxd9WG7ktoF3YOlKyuaG3GB5b66Nklg77BQFLSvPaEB1AqEBnskLA49FmbyMrk
XDJ6nitg/F27ijuQbhXyDNuhymHN0589fJ3Bg5cYY2BA9bBRxa8Qou52IZvpWw8k+hMsjuxTQmCR
d4SpGnlotgAdNeaKYGpKuopbgiT3O8UI+Lq8Te0N1Wl8TScenUgYRCBtIon5NJst6rPB4ZICoGj7
YxgI+dBUs4uzVizrdenMU0+28k3ooT0HbZJ84bpnVzzw3bGKdITLNIbiVs+4UBnlQ2rAmZvomA9o
CNEWChmAbDIavu1DsCuGLDVbfDKLgZ1RzEwEfd6iH4ORbYCz5Y64Jiiomt6U6ksAj2NfTADLXqZE
r7kW45lg5oagh3IsqE/ubAsGF6cQVAhbQyCfvJZ1s+vnyOzHkWvkQ/L6OiGpewcM+j0M9HTbM/00
afVDNKbMyxhYpkC7rJTJ7Za4u36qCk5VAnbLhRgUsf3YQD1wV9Ieq54hSYTtHbrnAXCkSbMmWX1m
R7MdVvDbbZbImZ41CNeOxA4bQl/Hhdhsf53yhO3wGC7PA7CKm4CAPIjhB3wIE2AhD5Yh8Rg45sUI
ciNB7bIqWNM3kG3aIbMYjS1YrlX9vR2wJxbYTaJ1N4ISKs7pttb1IZ5xcTJOuwDci9ThQ+KPKMlG
5MCUeBLcHFw7aoG0u5S37008zMAfMbSFio5iWdj1AEA9OZAlIbukmkAA1HxDzAshh75K+ga8tLJ8
5ri0+WyBljgF1BvoRq+LtgYRHhBNNe0Gaec95trbDTpJ8pRKvb2l4CnFWdTo5QrT1/GELre9L6O0
3GN82/xQjSstEF5QtDJQXBEF4DHKb+LArdkWgZ4/wKz6i0o6cpxaTPUhKGqboy8bAKhg+oGDaHh0
oxloDXErmiMCk/TnJNIUy8FjJl+i5+3VaHfwmFieSBfqzwF4/mfeTx4QtuT8YGZgCLj+5l6COL+g
zUnmbwjTQVMXiSO8pq/CtvXXYFB2n3VUmauqQuTF1gZPs1rakxzS9hHAWXXHwNK9i4K2P6TDEN9P
w7Vq7KlfFn9PbNMU4DYsz0LEyx6t+ACW8cqn09aq4JaYgairGKvpzgF4vZY1dvi8BQZ4xpDqSymE
/cJhbfYyNfN4g8vcPvTtlrxZOiB7YQL+o/IJ2M1dBXr0dQ02p4S1/2YKOdt4B3dXkRuaRjd1vw1b
4cq52SVivur8luT1BkvwLIC/qQ4WjHkEUpWeNgeDj27rt6dys6hAS5CoXlOxxjuv0Jn1dRKfeQeK
bjZ3m8oNk/IdlOv5FELxDDIbZkVPHUgJ+/ny3rxp4nuLhnNf9a0/RqFi30NX+wND7JfapX3k83jo
BuDA4YpheRJDCMRNBdeLpOoOi8Nxr/SEIUPIQDRt3WMtDK0yG8ARMAXX6yQ2X0GsgJDCpiy71wCG
788WUN/1hqq3zUI+RWeVlNOcD3UcnioSvxtP2gJCjfYblJ9Tu9tGqZ5BlwKDPkHpMRRi0vx6Vam8
iVLj/4u9M1uOHEmy7K/MDyAHhsUAPA4W37kzSEa8QMgI0rDv+9f38cysruwcmalukXkZkX7LKgnS
SbrDTPXqvUddv+dstZPyHYNBysc4z24zq1N3ZtMzrI63WCF5zVgbERCRUbAxmlq0qqp+cNhkORzn
Nt2ea4PizV9q0hR638kXhKTpG2SuXyQK6m2fxj3jdFWYd47Xq0/UL7WrZDJUDK0WDB493i3ovN4S
Ycc1XrLOmZ8djpr3eIGFG1S07KQ3ch3F1cns5puzZsUnDsw8AG5ahGWSMg9Gz/qeZIYhD13WmndD
2yBMcYguCs2MRVXZaWvs6c2L1Qfy+4FHyz2zLDiLSqInPga6Q9WKJ33jfV6zej6tiGx2wdIdHRWN
xVzzdqyyZjWwDvGQHICG22eWXsunqYKFofUjC7Urbzi6SUbRYW95/4HN95b0DG8U7c7RQGfatxmX
KcMlLQtxQhVhZRvzg4r5TGNy4GotTY+0UTx/w3BN6nWD7IcxvbsvHGv5luOiCEl22H5eVADi+8KK
nNrWnt3FiRZrJcSiG+7D3OOo7mZFvWem2atYCT1MOB2ibqqaX5jY8v0MLyFSlFsHLETeGyLuehcL
Wf+aemPZzTgy2XSGzeSps9L2ABqLwsToDxhIkktSj+sOK3T7gzj6dl5ELb+YehNiiO27xujSc6lx
3VdGKz7WagUjk2augW956s3EXyctPRdI6gSW+nz5imN9vmxrptJwgbJ3u8qOg2Re6g8MzUY0az1j
ZebE+7mc03tJ2GVH8MDbOYPId1vmNDdj7Gl7qKhlIGJLgo5dfpVy6++J3NyyO2k4CBx/4SrIX7kD
/G1nlfmlHbA4r+N8oehMQ4yB1l0xGcUhbjjWsT/C1AJkx5qbyzrQsWGsaIR35yjV78p6uNruVeo8
1oQJzKBtdLFLWu3MmYifxCiy5LlsOVf9mn1ZaaDPY0YZ4bXb2cF3tQPxrz26Or7q7/hiXOc0xf1C
bKIhuYq+ZH1RZOEZsM1SvHBJtftlHsSnY8+qPW1k5Fr8W7n3axpdIXZbx23UW9P85BW2g/Nr3G70
XrshWms/UkyuJ5ZcJL6p9znY4dSjmsMA5btllq6EfEQf+3Nnm89FLtSB1ENPSenF4TxkZ9Nu5C0n
whDZrSovUhls0y6Vmb4h05gXo9TINFNnbrfdAAHBb3RGJwWV9VON9/fC82qP1F5Yn7p2nR5yDcO3
vzrSvbE0Meh+I6vNYOpr6SFeN9GFi6iKp01Ig1w2E63vVZ6UF7MnIhOwSs2+NWsqFGybWOcpVsES
JUrW93i/bRn0ZR9Ln5FSugV526ktUpuOiyePm+RVZ7/uuWsazP0JoIaTcigxWIl7rPOivJ0Y8RXk
PMobY5LOAwBcy6QAA6ATZGVV/sJGIT5UM7qYTHLn+5iI8ei6HvM9KdO8DvA450kQV0i/zNNdE+gT
zP9Qq5HKonib3WcM4Dgpu7xbo4U10Ggs17RDa+O98woyopCnQi3xRLCy2mfPqfWO4DP4nsGoOXGt
ZF9c5xBLypp6Q90brf3Vikkd4qrWjksWw7sttaPeJAfLTm+3Gq/CJJsyLDI1POlzR+6DBNM+tgtm
HfDcgsICAXltMRynPPCH2ALMJVVNbchPcpJ29aWv/ElSpR0Mueg+b0Tq0yJfoxueRtgqefW6uQiQ
xZ+J56++ACKpUXb4tIPzrsuGO9p5wmezC0O0b8NS1w5mitWcZuRDi81LbmfYi1irtOFs9Blu/xhq
46x0WjM2RqErknkK8YWvfl4nw5G1YltUzmLyWWi4hXFamgzcpwGm4cjPOcHFkN5McBr0A/ZN/KTL
ezm1YT8mB/xZSQjy/G4bnfx+Nkug2Im+3fDsWfvGjL2QqwcC47x2pCA9wzxlGPsf48bN9xYmmEC1
pOxafSQwaaV4sbWmMkkk9zlFqbZOezBl8QMeDBEHGMxXM9C80W1ZcjV0F7mOWRqMBX9ftyscXOEa
ThbTmg6W5sQvozDGN9ZnNFmQJAUNSzbI9Lz0V9fRZkzTQ6FnJZYo1XgvhVUu74Op4nPP1M4+dHHj
U9DYb2puRhUNuAuzQDDuW046iwYeZaOWMpKmySiWmYTPxaG/EnYqnjCtNLOvdZbU91pe9CfHcQZq
UBePI2Po5pXp2ZO58lHUB/eZ0Il95oDBgZ027mEpCGU0DN5bOcuIjBaBv96LGqFPn8aKbZfqVHdv
cW66B3qsauCRa4rvq+tKhnNrm/l1F08/eLLSILUb3H5lmexLucj9QlQlslNaOAOj1inbjOUwuKgE
vovPMkqNrjmTxEVgIBc0vyjcEt9rgmn7VA4jxiand765FC4WQxqYDn6cmfkfuvT/a13tJv1JHrP+
Gv4urP0HLe7/I/WNbC8m5Ssn6n/+Q+j63xS48LNI0r8qcP/8oj9UOMdBa/OuGpvLZP0Pre0PFc6R
vxF/AlHtILWZrnHdgf4PFc79zXUdk4Ca8HAP4db5pwrn/mbpBl+lS8QzvqPxX1HhfsfX/1WEo8F0
DM+yhIRxhg35b8OUtLKJhnqYktPueqa1oGuex0nNb8k0THfEdJ9HrdMeK3NgIE3cpDkTLyNPRDo8
ZyCcFd/LvJvemWmmxzj3xgiJzQ62zRt9DD3DLiWu+bBIfXnk2yeMXufmXmGx/MQB8DGPPWnjzdOi
lj6IO8Gq7xtvjp+57UjCt6J/NVFR3muX1gipA29NnOf3a20/5nUxnVnPQtDRlPOLmUk90rMt9hUW
6dAj7vRU194b5jYEgJk8dJW3lNqaNu/1ihTvYhhp2PcNI9O1fdJLM7nG5GuYJYP32CxaHo7j0D5Z
JQvsesUkXM09ztZusA9kyNo9buP5ldEWgTcjLr7wrlaXyVTJhyvLFnNQP3yMSCjP2WiU7MyMuWYs
yS1pTaZD7VUumuAwicWPPMOAKlE1MTe43mUWC2v9WNhXM4Onmf/B/t0UALNnW6lPcF3/XgvH8/W4
oVp14YHVfjfZN/bA2lvqjNx9cbWiPyetKJnyuVszATSsQWL//iH/7yPhXwjyjoc7xvi/ngj7+v2v
58G/f8WfxwEiuidtXQgebul419Xkfx4H5m/SJovsCOP6gFtXstOfx4GwryeF9DzBs+oA1mSg9Kco
LyxOCtsTgLws3ngJdv0fZ9V/QpT/j8NbhCt+ME4blxWV+C7Nv495DAddzy7mOcoUj8wyJ9suzgag
NSKpfbYQLf+CiHud4f319Pnj9XhBRgA6fw/+GH8dARSKQlcWOovrrR6ziKW+po3s8jpr/wqGaPyO
CPrba9muzrzNIx7m2H/fAcOY0jDNJJkjQ+jXNZ62jdCiEnGkf25u8lhNNyNh3n3BfDxUbef9kgXb
xvtqyY8lnt6SHGMuTgSbGyrssbdyNFHVvVoFLmPUfWnfkjwRp+uCgI913uw46IVDfZ4tQLv9cisW
B/9L/amBt/elm4tnrHADxHonbcV5sDoc59cUTtCnWxwOyPSfuNXrqHdnFCQXD/DXuGjJp7pCefPK
McM6LrZ7hvq0b0OLakLNhlqBqveQyQ0WsO7p06HFJIilKvH4UUacP6+uq29UtklLGiFVhYNaiZnR
Iq2tOftmMzlSsF+yjHRkqfvi94QaORedqfvCHof7r5dHR/F5EKyeizSnulSrfK7sNG/CPDPj06a0
7ZyCZrhn1eNlSYwhsmJ9ClTavGllgq6gGw+ZxXqlynYu64JtJSXx67foQoGJvehC1B7y44iAh3Uf
AoTwCtjqrB71U9T4SGgLCvbav6VE73xWYeLyatPaZ17jElZ1bocqy3D2MNtIcqh6CFGRrXnRFFfr
PlfGg+iY9hraI5SRkHRL7xN9S/YuNr6wKL2jQaMRMCDm5bsu83Whvqos9Xx7zPiPZKV0n+tDT547
mAqn8uuk10Np8eKGLPVwcvUHeBi9P9ISBqJS78pgbQzr4kIChB9zzEdd9IUb4gHdp7P+ADuPDST8
RXMz8UKkr6dBZCrACfYLE+VF5KTE4BoE4Ar2ekNIKJ0BDBi9+YDqDbWiFL8yWe7IMhCSHYe9qWdf
uiHzKI+7N5v/McXuLXyKL1TVSzmok2LiEeQTVigUjSfVyb1mM2Jfp3MS5/vB1C4se0qjxsMh5i7X
9GIbt626ZKY162Fmxf1dO9i3qVa/QZhpCHniuzLn4qx7y6eEPhDmCyCMHOoBgUuX4KbyKgLJs4eR
CzVic3GLpR5l8Wi5t8aaqFszXj5AX7wuypAw58gn5iYzLxlrsGAVCSsH4i+LSf1aQ+03HEgxeVz5
i1QoJTlrUDvjLdc9foEYh1bMyxVz+hEjhEMiGkiFmU6Azd+3Ghzmpc5Ly9nQyPgPU9jRQQe8sQ9J
uXpBXM+rrxVF78clDyqdN4k4OCJ+3DvPs85vWjnlZYLD4lt6g67GwqH/vlz/M9NuamQugP9zrf2/
ql9J9/4/7rv3X5998tdL9o+v/HPsbf3mSIgZtmf/PvW+3qP/XnA7ktE1RbXpWvyjf469hfebYLTt
cC+z5vpKxf/H/Wr8xpAcgzvfTjKy/i/NvP9m0OJ+5SUIhgnP4zpw7b/TvSUr6iaBsrjrRurJp2R0
3efN0aomtGtP3lkOvI5QE7iNK32pd7AGs6gYlB3+5c/257X/19n7NWr5t5uXHwN7L8UEJYc03d9/
0r/4X3R7kqm2ekZUs43uJXfXkRmdFx8nVRrPY556F5a5+BsOkjIm39LU48FFBolERsnL/5XuNMFj
V6NW/bAT2DBVQp6G54zhSInfiDEJvIQNb24InG68TbKUIHXGaDSy8AE/JD3u0bQ1KrRjUD1aq21E
g1QRR1qXzyE3+BpVnBqQc8b5jZLJwRCMSEMKbvXOkpjoilQEvIkrKV99+BPi2MVyea8hPQRjZt3i
j9UO16EY06h+MN/hkxU3NmPrjsuyYIssm9vOixyClKDJh2kO2y+Rd/azx4dgj4I9nYZ8RlElPp/5
WZJzwai5/hgctz+OcuruEmugHKiFEUpYSDvpWcM96aeYc91YaUbMU1E3B0xx3FFktL/ROBUtOQgE
RIvpx5tAxAVVpBvfktnTdiN+UiZQZuxvk2lc2kRpO/6Jvl8oIsJ6TrpDTxF1UZo5Hyf3auhci121
qjVsrXY8I7Cm5BoshY7YNpEzwgkNxhbZZnVmO4oJysFVlsOz3epN6KW1GTqqTZ6gK9lvzubG2HMw
dpowtA7MQTZ+tfZ+y9fVL6U23zDuyZ7HedFe55kkbIaZ+mBYlu53tZFGbY2aY27d9KstMzeSZV49
WCU8bp+tOyOyU9mdUmVaIULnDhzZjZW0B7fSzm6b4PBaNLBJunPnmNfrVc+VCDad7FhZGWSVyJU5
jEv3OSKy3/fyal5naC0TLaziLQ962rNe9vcsSZF+kXCtOSNoZBBQ6cGcWMvSkI24bfJ8eEtRB/dV
P9TEItQQrJWmfTgbnaE7VettaQO6uS6WQ73X4KlekVGN2ZfX/5K/FL7ZPVET9boRNq98TUzrjbIY
DhdJLR70xRT3Yzktd3qjbQjk00JvC8KP0Mgd9Bci4uW47Rs1DA9FYct9UVjbgzXE5MQ3LQ1KLCgE
R7f0Pl/T6g6Xp2JqmdoRoAZ5TFrDCuyEmTbxBSOYnKE51HPTvBSVyWA6RSCvihzck1d+mUiUkZi9
8hnmFykTDN8h34N9SUkrD9MCrnQBnXGs7cHdV5UyIrNaGTrXpaOCUvO8qFM6rgqgK2GH9H3oCHRG
uVp1FHvcAdzNbmfjPwHiwREhedYo40OtQT8mEbaWhwzn12lNnNgfzUXeweQxH6cFD1zV3y7Ntu29
qbZv3Npa91lRTXTFUtwoN7nzOGQi+pM7fSyDIgHoovRqPE/CTH+udZd8lWoZA6/AwirYE3VZwQTc
bY7ZvilO/QNBf3nq2Ed9U83WcNyqyd5pbLG46/mxg5as8aMigf9uNG56khnN/DCP48/OKtpHTmaX
5HDd/TBaymjhZDGZFQmfvSHsUZEsUzI/upYd4OzrrnndcVz39taWcwhFg8xY37TjLk7yeYc46DYY
kvS5CgGLZjcj0n6YMAHbZQr3fFK7pMMZVCfUh50zhEarmyBNx8kcfGHOMpzS+AXSRnzHMKTeAsP2
asOH98H77OH2hc0i3PGBfLwsfIP5I+PHhiGAiJldD12Jni2nm9iE8MCZtu77daxO81om3xtRTVR1
quO5TiZKo8X0GCoxxVaBAXTAvCRNbp8cnN5WZDbe5wpXTR2bqmqjeRyqkwuA5c1KveGwZTUgommA
jlARadtX5Bc3wGhe85XW+dowB+iGL6fHSRJP2/CG0DQeGlnfVYn22i5zf6g0XYCfA0bm4pHc/IZS
v7wm/Aae/836TlBPerh+VP3GUowCAtHKC+izc4xnMsdrWVbHxIjnAnXoitfDwl7cg0KbxL6MZ2s5
ymydvAsOFJF/Ap3px0eRldYTWxjMZTc0WvPe8yi8x7FRvdRFot1A1Kvwn9Rc0JHoeLXS2+ZvDeNh
Nmu3sfWipuktLz3tvLr2Ep91C86NhHkgA3sgZPMHqY81aCZVdmc+/oHrY3Mhqax0lV9MRe1HrkKW
Mc5OVmQPQ9/XR4AQ6dOIs/mJOcsiQ7LOjH6m0mu/VAnoIUpSR75W7WL+hAmwHgcSF/s1neRZrpP7
6ZUO67ljQ88OmivsS5xZUCw1xLwnNkzKm2rhr8qeD2c/iZapc6+18jGPZfu9tGT7aHFaP61l2x6o
laed6hVOZ4K4rvSJby835hab1ymLipye2uV3mPUwzc5Ln+iFe9ezEik7Tfmj5k3uGf5Pz9Q9V5Ge
13ETZGxp0F9rr0u/zzZqmN81KXGDslDYGZC97R84m9rqLiMmWEdDWm2ZT3OkRwUmnx7jiCceRGUi
PwhNPSSzPb8VXSO+YSsxn+pBlCdPsCnJMJf6Li409a3CLnWkqsnJHE18C2qtOWNw0k1hsaQz+Dpj
OAsG+USdXI1QKWuWRTv2QTVvNXHExdgR09SuqfB4+tYxn6OdyVqCfbLKl9s1L2loN+ACpr9dAyNI
CfVyyMQ8hrNSx7iv6WQcbQ7rbk1elVH2N46pSnL6iQiq0jIDLFNGAKvxYJTgKTRvcY9JuWx34wBR
q2u9np4VzgS1mLtfFmhpHKp5Sa6PfePDcm7iilkz/c1oHJweSsOpr7PkRDlDU2SQ3sR4G8tnizkQ
4KGG+33vZY64z9tig9TGgqB8q2UfZJ3ZPfJVOztb0z2AD4TH0q5CBBnnPKt+jZJ6VWVY9V3/1sRy
Y7ZgryBJDFY7QZLiOmJwX7W25qNJsgi03tTdtK32DrvGerSSzr1IIHmIDPTbqeU31meiH5eueiMM
9s4OIJ9Zxclw3pifmUaA6YX8KlS5D+rLejcIuyGls6zTq5as7T0daRaZeVzkYWFJ9/aaYdz2K1E3
+N65t2c9BwwZZovIreTxULDk3taBZ2JJZh8NWLIkcMlx+2Ism2iJdbHe94tu1CfsGjZjzhKaup1o
nT9hpzynuZc/T2OcMNvGOoVFvzhmoBnvpyQxSSM29fo5GSVxYlXP2SvemDisNJvBOpg0xwwyhEQ6
Y4xhZVSXLi6vper1LPbtCYHlD+glYac0QN6doflhyznYy2wd4Yo2O9l26Cpktm+zGcML9W3+stSJ
aZwmNWlhNqMsHbw4botD5mbVhekCpkGx2Qd+5Tm4knQOkzmJj7FX5r01Gz11NTaZJ06bBBpUQmov
TBaEpG6Io3KKp1OuvEuXu8hROXapvmz2Kq4UXjOkAWMstPcNe1e/B22hndwse29NzYOp4ySav25G
8TlWjrrLORW5/YcSdiW5JPAea7yGuaVXN06RUr1pk/7SACC654Jrz7U+W2fP0whZWlA4rYXIOwya
+AsTShHlwnTuFjs1KKCdEfrHDNptSRvtBXMtZ8i6xPESeE2l7/Om7COnsNvHbZaoBMtgmLddrHtB
6m3Luw0V8mHlFN8bStOJgYEcLBm8M6TsP7tr6hreQ4tdUDTcnApri70JpKH5Nu4oCtLZPJu8Q1G2
5k40Sb0GK+tYkeSiIUHe4qdJY+fmKlu9iLG7RZEbdsSA+31BWAoJjebm0tkqP0NgczhIjGI8AKih
cFMJNk7LXq/5X7gTRXUu6uKbNEpkQvdumFxUIZHkQbvk+i5NqvmopS43E/tea3zSKFfDdle0bflz
Wrvxrqb6IjAcq0sCT/dAXGU+OeIDly0onsHaIaoQj1nWg6lZCb3UNodrspY7wYXEMFStyHPw+w5w
XNYgNtjrkByX1D4lq4QYps75lsob5ShxrlyYOuh9cx7gMWrCQkywzRacA3ML6bSf5meWalJEV6oO
cNM2gY7fl8k+TmC1UtHGnbLO7jBaD5Yo3dOkN1OE7gVZUXOZ2/O0n0fc1GCK6k5Qglb69WNoB1hZ
ikhbuiKs7eUQw/vZAzY6wcHbQwMKhZtc57l8ptdgRswOqTrSEwH1LOiMbDl3GGtD3DA1fVbN1FU4
pdhl2IB9ZdlkGRlnWSHkvsPVBNQi9xw3a3ID20DLUjIrjvFWcv5NE2913NQa9qUVrhOwnXOiWu9N
x3K6h2EmXkF5WQEmxuLULNsYCk2om0KzIWTO3nTYpsz4QYrdfJXO1jxSAWfHgf00L3kVY62sGu0R
gZVB19bmnJU2LCfcyMmlG7IE81+7RTpF20/BmtWjKxoGYdZQ/zKT1vY1a7gsbXZm64Edrnr8oS/c
feYabJgzgzHVnolIEsxdJ+k3s9cfsAA7x8UYvZtZzt4TbL0hrBQOsFpQwE5OZUZQ21w4T81FTyr4
imkdSh04J2OM0NHLx2xacuqEqnsndGKFJVTIwKLFP/amcSBdrzGeT8uoYp0zmNeB6buXP9rAAWy3
kr5hdbe18drqy80I7I3FSztjkN+xo95Vsy4OAGCfcK3tlAaloewOcS6u15LEqwfNNaA0fO2U94av
NzSm9L1D2AiKLm9D5VbEM5exPHgwRX2umerCBlCDz3FXHz03P7vYACFBWttZdokWObZbHMrc3Vsr
Jhdmc7ijdDyC81CoPfbVJ90k5eSu1RQYkHLCjfh/zoejlkfdprki1pP/NI2sJjDvkEtP50ri3OSM
BKt6IHhghvZQ6HvstvGuzp34vBSgkADg9AcP+nGMKz5zLqkyYt9dnHAj73xkmWWxT52jGJMznqDD
ZkI8a0Rqf2saZ7jolmN+SzML5mM3DR7qKWsB93lZEmzK49UdAxcv827r0+ZFm/HeuCYtyiZJDJSb
15yBWExPMOjuc2zG2Wrz76EDEPg9DWX7WS12d4PVUysZE+gE+F3QwI2LU1WUOySm5oizOQ5ac0He
xuxzsxkgmSSZlJ8mvx+YuTEfAoeU6tuoue1xAn9xv4yVvWMmIEi7ktNQRRNN7aLvJO6W0Yx1zrz6
zZSa/jgBCKTDWbz1odRtFlW6mux2Aw7Y/ZxWNQ4WnT89KXZwB8jLswZzFkOPfSnJqoaykfPFYdcw
s9n6RqWsZtrEJ0RgJtGbc/K8pwXnaJqY92xGPpZD+oGD8HNFETd9vakpxI12wdgoVXvombXuuDY1
NgwVS5gZmh7VWjnfjvkEy9TR0gM31wG01YGRAlHEKSQsQujEw27k1jxQThlx234iPN9qle3tsdIf
bE2cbRIoPrXWrp2m76Mxqy5YTFwcLdfBUyf0FXU8+T6aBvSsWnsxU8++YxY3vGu22eD0WxluU7Y4
NBBHs6Ubo0TRnhbPvKlNdghmBEScupGX1oCnm9nGGwe4IpDf2i8mfjtcWNcV6Kt4KckFhZl0u2CD
PkwNHXRNHhDM/xx1pt9kcmrfcyBc5qPb+Wspv3JSCDJJjyVziGQun1vgln6OnJ6203WAbzq7MsYu
SMqnqNY3rXEtnh4tj/CKg48pIKs80WT3u8JKb7IYTLknhvu5Kyj1yIjcJ735LSMtHjiLCfak0KkX
2di+Y4g6+maf7hYWjgZWahRIecK6XRZWTLvFhGWuy+IQT3UEujpiWXTdBbaYTlZ+0Tz93MxpyuNY
PV19gcQ5TrHXe4e0H2/l5i0dHqrRC8dalM+qrZc3sj04c3BAFDQcftksB9kWy561fkYVFctaH9Oh
H3caGPyjJhLjkPdium+3Sf1QmPwCnlBMDP2z2eEfuzcaH/LJLwed65l0f30UlL7HBGUoqpbpokGX
9SsYfDt9cdyDhbeS3oTwTYncMo5182KKDEJ1to7KTzXXjETD0LQaJkzyzdpcDAfFjLYh3k3OJp+g
86YM0rblpt6sBS3TkO1RymwMO21Jw8pb2DFZVr7HBg7eKF0BhI7TyDGc1WMoZ6bfJnuxbvmcRQaW
dHbP9xdIVZtfk1bRuR8zw4342h4coKUdSWilUW3qa8hrOj+bLe4P4OmevDh7Ko062Tu4s/cAbPIX
rUL5bu3ufgQk42epnkY5pgggSRqrgbjnqZPhRGGhJ/ReNI8gWbAzUCesm2MBGtDIcG0NI752nr/b
NeQynLTJUabKuikwi8N3SDQk4iJvrvZz3rPDvJjuxVEN8CB0ocYJ7Yx/B1t1CpOKDYM8FL8cpC4o
LiuroWS2PGQ9KQomWujhnu6A7MHSlxuGeoXijL/UBSVcmcTjoz7NYthK8ZUkHK9LhuM4yX8Aix32
Q26yzZdKk4IqHwk4cSOnm850sXMaQ+NcWCG6erYzqcsk1zPgQu0F1CtYmobWI+o1IZ492xYAT9w8
ZyZal9mFRQjq7MSNOEyz0EFiKXJJuDe3xF9W6dxiJUhBiPTtgS8xI91IB8D9uM1TfLNHMcj2q08a
SsfY6i9zR8NUaab+YFS2utNkbe7bhF2+gAwpgFjGJSL2UXPzTk1pX/RpCDuKPxP3EKBnVIqL19nG
01ga6sRqVOOZg7+6G6WZ7CeF9RguRNvuDSjQLegCrK1+0ULGpflvuPqIqKxWS6rIbkeUsHo1kndX
cl6Qw5/zb4Zwb0bYyoiZc3WftbUMxGJ9xtg1PjD+1QkIIzP+FRdp+UwZ8j3zbHBGefdgjP2z4eVT
OF0FrxHyx7ABXMqpnc/LovNxtRG+XFlNh0XbqvfGTp2DC305IDWtR1ONL0khD4Zqzbd7MiVLwByB
TN7quMhm+HB5tCwEOgldmkAdIaOsuXVzE6xruzj7IRm+TWsCScPoXlNBHh70JaBcw5a326BSqFN9
+8Ni1wHr6mNn3pv2aDF6t7CNNzaNjYqfQbZ7R9e7ljts6cDLfF5Am3HgLdlpNZyvlPKfdRzlEOZI
UJwEQKKDabzuUyhAdgb9li/hOIjqIrf4fnS2e6mk95DA+w0ISTS7ejB+VonLh9FOzZulpDbusit7
N1u19yuRkL0d3g9vEO5BNgkQTtu1wGqyNALeDm6IMi6yIzRCceDWpTU2TilV07esEPatIfj4wYpV
p3FxtQONHRGFrngYUqn5C4OpndMOF0Gh3rvDxLp5VMloMrb+iF1fu53W5QpYtJ6TRvJyOVkyq4OI
kWhyCkeAPGvFGg7YxMEgzDtta/WLcPTNd2PCD8JVNMV57qEMyfw8VMujMMgTsn8VP/I8i5MRe0/r
MljnpKpwDQvd1228vJPjRXDPnusiu12h/RGSBEG6QJwU/pYLxwnY1qEfZNUNO6xqDJOI0PKrD97E
mTw7OTsjanNIUAE6iw/zTNJTSA5k4XVwFD1N/qptB9US2B8ukW7j7bVxZvMxDNfrag5a6rzBjl9l
N0PSx/fdtm2ndcBG7npDgTkh+2Yr+SD7jBwoJG6ZiXMBrMlF7d5bdk8puJoPOLfzcwqZk53uYVp2
Lxhz3+ypRmiFsBi0tUNc6yHupyTcGLA8ddjvA0Ori0dTr7tzy3Q8nJRMXmxgxIe8mylplr4GkuxC
xBRO2CYNaQxge/tygDI8PizMmm7UnGSnjGftvVziNA4KB3Oc9W/sndlu5Ep2RX/IbHAITq85D8qU
lJrrhZCqSmRwHoNBfr0XqxvtdsM2bMAvBtwN3Jd7a1AOjDhn7712D555Nbh8A+LSvbMGG12sEQVs
57o/xcB8sMK3R8vjeboSLuRAINDcBiW3hVXqTxwnRR6BVsJJxMrRK/dOU4S8jUSOXs0mEcsFCC5O
oPPyi4gqKcIaYtsdv2l6AsL50gesqHLD3lU83y7hhG1nbYBK/zlnXMw4D8dHOc7qGNc4v1chlLt3
WkixH0QFdSd8lF/JkRHeY8eebMjEdvc8F7qGn1rkPzwdqp/QaZjrWBqEClEoy1wovIsvhu2tGF7d
vpP3ysCxsJoy3gQ0pjG5YpVPJ+JykmtmXjvhc2553THRFWZM6mzUx2j67gv2+wRosc+eqozdqmST
KQSU2crO72OwPVj9ch1CzI6Xll4fFFq9xmkmXzBht0fkKK5x5WDLHRO1OPh0Bs5EOWuMHT6QeIC2
o3pP/fInURwDvlD/k7HcoORGgmU2G/tnzoUPwW1mYbUyUlYi3WAGZ2X3kidFxf838Am7y+RVCVdK
032n54DvEv/a7C6G43VfAICJFuCVrEj7KvdXyoV8B4nNOwZR7F1QWfV1aCGQuQpNuPXGflfL3H0c
PMETLfFjPiiNz7s3kFc+GEbUoj/hnKRhIFw2XeWKq6L6zasz7MpeQz+zUnkwdXvztECGhBBe0gXi
Gus0SvNLb3j6ic1asqMBCbuqCk36fZuC9GBGwIGvX6qIjwLy3/hW5H5VMOPVluhic+ooy3mx+9Da
2GxlD5Bdnft8NDKywFGAdQTK+Npp8FopYa1NoJQcfFruUBT3zcgHOJ6DzzIBLx0Atnzgg0+JMeb5
Y2VX9r2pks+wY6O3ktxpwfmoD0GXxbojybnNxPwAqxW0SV2E0KEA8ESgXtdeX8ybZnqv5SbrzIas
a3VFEaz49Y31EtfNRk1ZC045mF9hK5ob+oHa7ZAO40Zry19FeXuCWcXU4c/tgSkw2XWOEd2GGgSe
P3g/dNQn05Z0ZLM1QaBeUjKwW0pu/ZvIIiI/KTArbDq4BZMkjR7HcpS7Xhv6IyLDQ4GUu87CSNyX
bVu8luTg11STmis/DOXjAIRyr8iiFISCGxIXqCjeTH9gFJ4la0mmjixNn5PB7G++jeCztQsZY+Gx
TXl2w4krQRwIaxM7nMlu5q+j2dFPesqsA41Kai8IUA8ZwCUURBLhFdKpo/ztclL7DB5bP8QnW2MI
WBFcMV/1gCNYD93ENkXlizBrbVLqp7ZAvZ+ZzLilYNTbB1XtXFJsebtiyiVWJPsH+lt05iKS3uXc
JtdFw0AzSQLWbs2jVqVpviXwpS4Epdw33yDZEZvjLpXOdOj63j9kxCLP9WzJHd5C80YSV1FJxTm4
6skFsbuZAPn05Rg9JUp7V9aV/CgpoqDflOKMNG098KoCrfPEVF+saHDXqGulXgHHIpWS1MF8R9OF
/z1NZZHvUV+YAVHd9ImWEElBwcynh13qczyL4d4Z6geDJD4J5ObS0GtxBJqZ4jumb+YcU09lrhoT
dPUGWYX2pJqq43CuvpvRs2g79ZBU/MoZfuVYB3a9kUcHJ87586qutvcWF4UzSLBDXkz9Z6aw8Wwp
Lhz9VeyW8pX398dkN+les0Tg6EJXX8WFxdimo42Xdu8mFRX7REiSI2Ba3XYlWNOx3EG/MzdCOGSU
ZmfwtmPmISm2ljrTZ+Wtg6YcPvrJmR7SifOxbvx01QN0W7VOdfZLtyPv7rkcNmjm3P+bKZG3Hr4Z
6+IUMK0T84TuK/MBrQE+HJ/fAmSrlbvZr9ko5HMXtv4vFLjwzh2skxxSp14xb5OnDuyxJfotrRzU
LZY5A0H2vrKadikxsfhUWMbGzJz6xxjSnrAC0QpwXcPGxt/uJT/ZgTJ52I1zH9tghzEGAUgOyuIe
4V9DCy7pLui0MM9xAS6NAgYEJsMlwd0bH1Gr2x8hEExv7VXKPLN95rTBKp7+jFhWMiYAFN47o5Ue
8Ozg66+G5o3F0IdM5q9RhznHuNe+ODa4RdmQ71xxnMp3WMrzWz+Rr+IpZE6HseWezqzRMU2ZOe4A
ZpZNHEpF2ZwuH4OpmImKBd59XxT+1q7z8QDYVs04+oJ+Z5EOFruyBkIZjzCQRybRnlYXMEV/BpyM
tcRu9ttHFC9r1crKYosRd/oQGJR8zIkR7I1G24+VMNWdb6C89jyPbpg8jPXMpn/DpV0/5G4sDnbf
x+9kcJ2XJuszvA64VlB7TMwchlDEx5f9uJG11jXFgggUvS0CBC8gpCNptUq6mIn8mJNAlhOLdiUp
yCNdsOlhQ96ZFJWt+9LG5FPOgErB2frpxms8QPd+951aknqliuAyKQjsDG2Wz1vbsZ59dvtraVrh
3uNpSsR7Ku6M3H5wVTnvOuoEVrY7+1cgjWQipNZfKnfgjWMLDh4F4jf2WXcGEyGt4oZIGz7ZhtAP
CNjelx0k5dmYPHS10lSntKW1aB3HOby9KgmexITKCALuvWMPvTTjtfPFkTrb4aRp9xyl+F3And6T
YbhhwcvuNHeuQwohciPG4LUp2oRyskZylQx0+tLg13kY6azRK3MQ6atuZjQCI5gxN0lFJZYzX4Dc
l2vCw4qE9eQfuyTbJ8WYnNyC+icgysEpdd1rHWUU0jlFcCirqTyyy1DrWdYF3wg9noDxzY9z2rLf
bAnzUao3me8RZZYXvhILecW5BW30Eup6fEjauNz4EVNc1nbxhs6pZFPo9DFBJ5S4oQ4iIFrVheF0
ntKazWuuy2tWqXZdttnR4Tr7WAKTPRAPzu7CqSDyyfDkXGo/rA7s/X4GXf0szAmSAIJRYLinsikQ
bcDGDIc00uZ7Alxz1+Er3rtCFC8WgTy56tGkiVaXJ6vyhjM7ATwhwtUbadnNaw4s/RJAh1oxJgMc
bBGqKV/zKL7Br9SsCaHlu7iJ04NtSGwdFb1CWFrBCGc9CwA9TDZB0xhdNhFm/shjmiYMJHm95eSo
dmiS5nmw1e+6tdj1dDGMJkn4eJUjRV55brmkrJ3phJ8A6m4Y62fVx/oalNF4IOQ337BY5ttZRqyk
Qqu8NVwubiP9Xts4KeqPKVdkb5NBq7MuTGpTQiv49rQTvSqyz6tkZihlIx01Gd/8mQIl6YZvpcyn
TS0rtgZJZeBut7OtC371mMKLORaJj2lbevLqlB2L8hl7MnBrp39gN5D8zEf05JWsS7F2WERid7C8
8+R14t3KRs3zbO7YGmr3PMxT2K6hUuT4tiR6Aomon00UCqjGVvyTJSF3iHRZRTkN8BSG8IJBAA5I
0L8vq6A3M8KVtaJ3r/+YI89+ZbshP/CnzffsNpxtHEYGbbBh+jsxhHWbqPo5jlGVP0dplGyRBRjv
6TlaOWHtPy1RjH0yNO7aDrzkpmLk83VNtPPUExj9hh2unkqOV4SZKbpvwsZ18U7kxaHoU7E1yBSd
hsJxdk3HWcPwXJoPeT6NH6xZvAuSVQ4AgIgxH3nR3aMYiKdiYAA3qil7yirjK+1aSsRbzk/qc050
VHbIOW57Hzfa+nRp4NgyOePAKCtiy8KXmMJrujz6hsLFLgPDw3pG3eC8cgG0x6Hd5KVfE81mkVGn
4biuQ9v6ttMgOuPQoQ26NoaWuTYakgePywGgbR2diorv4dg2xdIyRX3m6LMtQI2yb2PVRbc0DKtt
jBHguYzkE6crdx6XWZrjF85v4ftoaUl27rJcv3ikVQ5TDzlPGDmRbmJZ7YY7cvYWgjBgGW1EybsS
FE3CxUhH1g7st+GTLuFWClp3Pgmbc2d782dZS28fJKh3XV/Q7cjIuQaszHGF1vfENoyOLRfO0zgv
u/faHLpvzDXTOqhi92mGH3xU05AvwU8yALYMT3VGalQh0a/5qkKvEuDg6KTE0o6uShAMW57kY4mC
XegrKejHYrZ6nHGEQ4YwCna4ybhzxpLIP9LNU6co6olV5x5MQSXnuqMUkPAX2vv3TIsQJ8VcvmQJ
r4EnOocInkergBqja5sO7T3u/eyUAExmhMcouMp8EfCSW7954BgXFRFdA0lhBMbKzXOeQf+CVyxN
UwpmdokaXWudB9Vvt6kiSBNR/pH3E8EGiWX4hbxMdHBxXz2oMkqpT+nUFQa6iROpxAybKRq4oKGU
fy0F/t/Oov1fCp46boA3/T93wh8+2+mz/Hc5M+uvv+bvoVMc8Kbp+y65sX9Ev/niL/i9PdO0+CP+
ZEv/njJzzL8EMN/oLSH6jHD7Dy54qHCeE5oE0Gywb8u/+R+EzFx/iXX9YxTLsmx6I9hmOxCb8KD/
E/kts+zEzqjc26fKCO59lurIRHNZ7DB/pTg5++HDxbh0LFFCKM9sImgtTPE4yhp1gL0WHsFRIxwJ
fg/k6TR8BbbuvNtj6V/n2RQv0o26y8h1+TgVTvpVScNhuxDrY8k/D17h8tUL6IuZ1o3Vi1+ZnpGT
umbor5if7Gfhp0S0pVGUTEs1TKLAy5/t3Bo3QWjap4U789A1DhlR+F6bnkZdtkb4J7w6Sl+LwO1O
rRFEr8AJ0ktK846EQoZwGVIkAcN/C8I9WKVpT2jI5wvoZoG9dlJYNksd6NqNXfDDJSW1DPFOuZcd
YrugrHnjNEO2dQJdPMm+9VeKu/51sKjr4hmxCRK3Xk3SM++EEPWFpJtx0rkpdi4L1auwlUANyrIn
1Zv9pephRaS+V2JVEd0xzjsLb1+jbnkJeAARmSd+zpmaDe41Gtr8SgmK2jd6CD8otaUxzSgVQAmb
c8husvs8d9qDuyAretq1VvnQz59hIXIaPlK2y3TSUrrB/r2f/XwbkaE9tUQgX6Ks/i7LHoR6iUFb
rnWRcXz1On7tlwTyRB7oOYyG6Lc1C7Jq4k+alawcE/tkst06cuwX3U46iflR/AnIij9h2WD29Y90
akb8LpGQD2WgojsZFPocGonetjVXbKAhcyA3sNnDzUTFl6DV1KG2xmDXX7E5nPFUqaHAr0neIVIW
NyqzQtptu6q8c5ZUcKTd5imfeF9EU5iE9hitNQ+3OemrE2s+55Ix8mKFKPs3ndIc1wXh8OarVL7C
WqHTozFutpfW51SN9jdKHA0KHHAArIeGNX8aT/rRttNfSRL84LiJLnU7M+XiETjbcDU3w4hMs+rT
iirdqHcANfh+7V4UGcBbUgUW+lI3nbiD+/dFTaLByF4ob7USzthY3SmiF58tqN7DZIvxEMsAa8lU
Z0esUls71tGBoBUDoTM73iPdUtX92I/UxXmePpGadD8Sp/Uwhc/KeKfCQb7GdZ4dy2wcfxShZ36O
EWpcwj5xU9Hgdx5pydxQO7fJPPdRaqu5QVumGGzI1SeXrebV1ehEbTU4H7Wq4+M8KNj+k0ORDnXe
iBKiQA7e8J/W17gjWgtYSsRnJ8H+wWhY37taktUI6votIsjDVaYwh4PdsGRem0Wd7dKImjplTin8
K65mOEloIMl4OtyDyIS4oP9UjsBXZ+FkW+OrV0j/BMhp2oD5qS6RD92dUif7no7gjmKxwdoi7dDz
oPyWBhYQTYTVaNm9ZEnM3BshFP/GJGn9DrwJ+dxzm4vNmduSSmhmC8cI2yUqadjNcaOFiMcVdnwh
g182e1bgZr6GI5P5Gzjp9CRgl8Jv7tAN1zgL2GPA136xsQduq9wxd0PU8Bys/N50N7Uo6VogzEbT
HZlNyeBsBNc+sBpWITyKP+Bykv6MtDehkbstG5KJwGa0UTlUOaZrD39Hy8XgjpU0HgyRYF1lccVq
31Dlrw5OmGaWj+0fonW1uyrrLvnQVeCIFQ9E7rZ+mfqAIHN78D8moPgjUo0TvFgmhuasscb3xrTn
8kSViOOtYFRPR2M03XLfkxaxiJxK4yuuNInT3q399wEoZrAN86B9MBcYjVNNy0N7jOjwk+zj5dpA
1dkxzUzDPrDNhdtih8aHlwDdBqPCEnI1WZ3WF8LYBU1g0q5b3LVGcx3ztEm2WveO3sa2xWDcGVSw
UpaFwMoW162epKdAeYzBDFMHMkj3ZdIsQGhx8LyE7aRr9091Yhpnio6KHa7SviV2k7A8ShsuimaM
TMMaPhs+aLSAilDgBgIxNYwCnbubEqK6hrfUirgRmlRupWADyVQgdZMzBvflHS1qVLpVx0z+3Rpe
+caGvNtjJJhyCpHckcubbvKbxGfzxiK1u1C39d1MRvvpyvAm0Der1czeA0RNXnm7wSzC0+AO+scU
KNalYlDeD4G1I8DDnE1H04sx7Eg/B4pqKf8WZcEcPMRZZAAtEwX9W5nfjrQLhPwArZ/0e4opad71
sOSN8HWK9AUfnT7jfotfTSHLhtFCdJua9Dq0YFqVflsBp4oTjrqnKDzB146h+2Jk3IW5FVvUKPbF
4B4NI+d73/JFeK8RDJ8RvrIzfZz0f+Pa5ANInVY17eEYqn1kxdbLgNf5khUuGH5KFqhMK70SpcvH
7g6SJiAOITpRYuuTCPQdxLlTlefNG+mwQhwlO7F6HVF1QbEs7Zm4XkzU7KzkjTOcnIWmYXb8BV0V
578aQ+HHxl03X/HK843pIyt/S8t8OPMMtT5Nq5/e8P3gGi0F2anIn1OevaUjSMnm7B35cA8fRF/n
x07B4VklWTiSqnGNj4Z+MEx5gflSlNiELBYp+0iW4Ws8a+PFrMP8UTg6xlqkWa8lvVNcqEshzlZF
vLI8dPt7bBnggmBf9a9KianfzDRr/jCyCpA/YUkEN6d2nlyJCxMXS2Z8lU1PxgFySYs1KsRXvraj
gKsCJM38Uyb1XO8NpdJ2y2YyRIeTVdvsU7sw33sKZZ6q0qTNJBFB8WZh6BGojqN/S0lxxTt/JOjW
KqqFV31WZQ9hYuFL6Bmbyb/F7niOGK5WOImTx7FPoGSx0MKOPMoN28X8i/cKzM6sg/p17HpOAdVL
lhjWfMvahPbDDGN1u4obiy9IVoPmMyh1ol66MTAYp4v+Pg/Cv1PJjOFdR74fH3pJFQjmDxskVTZ4
cb+JEre/X3ypfDx9u5NrO0uid2KEmMFCrbCu57yqsRHXr0Onvcd+lOEmryXve9qW3QOrDBqi9ZKn
NwPR3QYLl8pI6QM/s2najNcWqjp9S8VRLhZawhBOsxaccHwy3Mk/GOlg7azKGrD8q0xu09lEcvWt
ZEGltOm9B2aJ+oWgtD/RW6tXownRyJAIzavXal6RMM+aO9PUvEK1qOXB0nHwmcnc+UkolL9WzE75
FWfhyOubTKhZwo9/BtxnD14+hK9Ybqp9MjcGD7/evmYAEC755EZ6Y7j5vEficA+ctHUGrMiCHVqk
wFH3VdqFdxG5hbOmtClcQ/fs042USfdjJITGJqnsnO+8DovfEcuJkxsZ8RfwyYkyy24O72ztXJPA
MY/TjC31/9Ekv/876WlnGfT+q6Hxpac25D9KT//tV/49Ph3APTJp5mYU5Knwb4AS/y/MfjbgEvFX
XBFj298AJYyOggUwwTzH4XPlOvyivwWobecvkMdNfmUYij8so//J7Pjvifq+wEzEROubHrFY37b+
eXLsyz70WMipfZ32IQ2G7XRfVilBCyeU7ZcRzpwTZtjU6394of6DwLQFcOefZ1YgSZ5lBa4fWDaX
oH+aWQmAZjyQldp7Yoh2snXc+rOwaYVc0WJIHGdAA0voLR6H95xuthk2ZYXqHvg5j6KIYkBvb+a1
Za+71gED20SkISYLfU5YE0nUoOXBYNJ4xa2giLrhMNokA4kswhJEYuiRsOsqmL6cEX23n9pybzuO
T34LPtoEivSV2QFomrnw06Y/KLVsoarJP4A16iQWocOyh3cyepLucw6QgBJFIStJHRxFs+TXurn8
SnkScLKozVxZ1aaLqp8qby0gimP6GHIhfQtnr9lT/5jetQVRQqDlgmCpEXvRCycjCR0uk9VxIu+y
LqPpN6ROiJKFg2E+tY+9rdPNOCYPQTLA4tZcPku/QnGxyldJK/qa1oSWn9Z+UhhZFioIdu8GSDoh
0XVeVAMkCQcduWYQp9VwDQQm3sQjnBBWiC4SkpdzH0TN8eoWu7+2P2sjRyAOxdl0u02XACmNnZYO
nnyHZoXBIeIRyZ1673ltt+5ciku6pKJcO+rG+7EdeLQONTlSOCBc0HB49tVQEOwSwxq1uFwPcWet
ORT8bRYQw+0Qyve9G8Nyo0prR+m5exSm74HkBe9otcNwwhAhEdwSAmCpnteDW2IWjVJyo3VcnHCP
e/twQRa2M5mseQRjqGyB7tNZMfsQDuhf9UJBHIRpEJTwjCtGhfIIMQAn2Zx32YZac7GJIb2Dh9IR
BEZIyA7t1sTs4w1ihwg39LnhsRod0X1CpsTnDvSF9x3Nz//AzRJc/AX+WCq7+NWDnfXXQVa7gJ+T
cbjFVXZnomLmm7E1JTJZ2Bz7qYFiCGKycOr6lMxF9VYEHuN/nLa4w4BbJ/O2/UOp7EKMWyvTrDyP
nIlXPRS54qJuAhKE1bugLu0FekmNC8sEbTn5Xd4VFrRBFt/7zECzgo3fUqO5ADRR1mBp4qBmuzL7
eKNMKo445xbwpr0gOEWcTNBO4nqmyMkE1Nn1C7MzWvCdjY8EBlMfnwORSvMI1hllylugnzNfqCNM
eFiDCTrOgdy+eK5avNvclALmD/cPTtSZxEgVn1dTPVpU6jWMGzdZse+iadvTNuXxhmjHbcA9vTlN
C860atDwvQVxCumloSG1sMR36Y2gXQV10C2O5gbI8YoMHbBUD2yqtwBUMwwhEPhdu3XW5R/GKgG1
5JnVMphlCYO1rYGx1vzPYXsk/dswu+W4ciaWI/ls3EeQXL04++qK5M5S6b5eUK+IREhwC/5VJaFz
7y1I2EYMd7Jn+gkWXGy4gGPnBSFrm8Bki5k66RS+bLmAZul0/JVkFgpchSgQEY84UGiAAuf7dGj+
gdUu2Nq48OVDsqBsyfUFCDDa3vYL6Hb2QN4iP3pXZnI4uMUUjXdspvV38YeTSwObPIdJABco/UPS
nf9QddvJtb78dJQnBsz8HPoExFiaYxvtrN7ZEIbpvN9NNWEAW/kVWx0YAwXfS4P7aowkToiy5E7F
dnxClCvV8MiiEstMIlmhoRWrEyzZ37XT8PzoKiF2SVtHm9CefCr3COALbkirUBvxdixieaz6pHgw
TErF1q4zOGuzGqObD2nUeVYG4eeVOWX9MYsb9bM3iuHaQbzDDlaxYgJsOt0HrUpwlFS2heSkfT5Z
EVgMQ8VfgUohgZRucGDhxw+2bCzJofFqQK57CShAxFhiMg8B6VpPmg9wPGbXxchLh1d0GHK7WFeF
e+rzxL/Utpec2EF8czrRk1GF9T5v0Q9XHp+U7kgKE8IHgly8xWeIpCG72ILlOjXtLyAh2A3oCTfv
WBcCzrUJB3XbJcquVwEj0UUn6ibRAN64XsPg953gt0mKmXiyoxtqoQlzuY0K1IHtCMKVUiq4Nn1W
vPq8T2uFoQD1ISp/MYwKAplN9EUbuiWeOtqlB1D+bCQ3Ve8A86TJo003NbeDJQ0ct9uMlRipDhrU
0sH8omO3YtsJwT8ngnL2uaovWVMDTw/luPReaexRmeNvRgVacS+LAfeeqIOA1s1G9s9jZpMLiSzY
IX7nj3qLmdxe5WpsHqaghLVE2VqCML7p6sJ4oAY7umpjbPhNozWmpp0JapiwKWYku4lhbcTHAogA
er5oz2nDyeS29BBkMuZHSC6UgP1qfP2TnmpxHDsCLGCxaGeaw2Rt6MZePG4e0dnI2Nh2flcHud7O
Q+vuA4UAFhEQ2szLbqaC5HBO3fg1dsJ421AJvx6XQPyII2o19qLDK2XMya3Q9bStUrgtY7TFl2Tt
6PKw78iA4iY0GB9Mg6o+8EsYmgfVX/IugNGEr2FVafwJU0cKNe7Ao9Y+7ZG8QyMJDaxunVWCvNLz
S5QThrSLqt6CfYIE05TRpQpUtY+6+gXZ3XgOq7KFTEvAiKsGQU+v7feVF1h7nkAAr9063gZZ623N
AUu+Wwrv4EGcWiVp+ECvCF9fyobvNe+7OeZdv7ZbpQUsV49tCtb3PYBopFWndfjCS+GeuS5gZCGE
hxqNdX43dKwIPVmH29Tqu2BbIWh/oKLkNx+L79lklPqmDdQ7Ghw50O8BPKY1iezB1pXajS6W2DWd
tcDhfDP6NpN5OHjuFKzTPsfswTEbMSsHJEsraSUPlJpzcmaxMk9eLPQe87DzGVptc6dMW99Tc5GB
o61LvFfRYHsnEmHM58zaxNHsQT4hrbtnM1DWM/jY6HfeRTOk4jKgkaCNZcaDyYqOaAjuKealBo6l
03AbO4Y88VXpmEfjScX7igTSvjBtC5hEEOKrFarHeIGnOrHz+BcOfcBsuRf6FW9CSQQsCIxn2/fS
A8PcdE51Ou9Lc1Lvwu2L89AATIHe5SXXCaLBzu6GsDwx6WakzhJnfiaTMv0GNVLwNWWLdmv9UN3C
pKqpnpUettkiGtYjV3v2sVn3GkyVeY2wXp+SCDF8shU+vBnPBYut1ovfpWjIEhZmfnZZ5D2rsRAH
Re3joxE6PbdJL3pwuiq45FYAQA8GBYUQRBLoPFs2lxF0L2qJvT6+tkHq3dkBYLptY7ik24IM5zHt
SvgTeOJZJHJnSb2IAxXIb1sWNjYXnjGSeu03TBYrpn+MTfix+DBlblRcKT1P9mHOistWJRdGrGw3
ktHz0a/5G5Tw618cT7EIpXbJwUM8IgDM0KJx6Y0LB36IfcUWora8DdFbuYY31tEvUoY7z8H2E3qi
wbdIDMHPw098GRZKCyY7GYCws1Xq7ZqmTn5xaSEL69W9xFaaL4hwOu/2BUWdx7pR3Qdf2vlmhB23
TVeTOmj5QwLDtNF+AgwWRRWvvcKJHyrd2texMxX8JMfWzeOkZZM/GbR0+Ju+nkGhEMsIgaOBIh5X
fdlqZHZbEeGi2ADwnRcoY+/WVXorxBg/69qS37OR2XsaluJqO48i3g+s1R4pE7A+hioUz/AGcLhO
rR2+D3McokdJWT7FhZH80qOXngwPUEsjaDbE4ogEsBprT9+oRBW/cezNJ2BMTgCeWTe3iVUh7mQk
DS5sHVYs1jpNjF6V8chuO2d483i7PzPKiF5cShDa5wDwRX+NqgZVcU5HUlwW8sw2Llh1oTykFqiA
GCZWWMQ+/qrBmuSxtvgQbgaW5Sn3dlBJfTF55L8zvr1iwohMIJm254oMM8HLP0oFS9JkMxqOfWmM
mpUm/6Cwp1oUjmbROnIW7fuS/vJX3BLDp81ItG5E3dxaVzxKAxOdztmfLgoKMjt9tXwOYcGir6R+
Mv6IyzAl7YT6ki46jFVXLuylcBIfnpz0SS2KjVq0G3tRcWJamGMq3tF2BCJPs6g93KiTO70oQNhI
5sOwqEJq0Ycwz3kPAsfHroAKafWVf7/sSU+9Z1sY6tCYSmGIS/hHeHLD3rTWTS1xLwaNWbNznaJz
tehVYlGuYiSsIU5+GarQj7iKF3Bf00LMceCDrTpPhd9DUPvrBGP6jrZiylRHO3ltF8FsTPnm5IuI
li5yGsKFcylx9J4kC+fHrBLfsUjMtb1wexuusw85DHRuV7L+zeJq5gQd7UMJn+h5VmEPnJIKaFrV
x1foApBGjCy5dmRFHqinpxEFBAtMbasmQB0JOtLZ/B29uEgeFQuAjYNDqSYaM9YPAzPpV4N2BjSw
7GkyYeVHFKy9V1iSjpXfvA2mRrjVAe6dtSycYaurMFi342Tj8EUgTbwchrwezHW2yKcT4tI7xfc2
Ch5bDPIq4TtUp+hHhHK5RxTujhyr6jbF1fQD10p5LRcRd8a1ccFSlj313PLQLRbJd6be9eQsMjDM
QvGiOp73fl0NP6RsS6g8vfycPBqmVmnISA0QyL8EPsPaChVF/JaLMp0sGjViR7gNRlet00XBdqIF
FISmTZFP9JovOre7KN5GxeeqW1RwKoXLTVBPuI4WjRw2rn2KCOZuDDXkz3rR0pNFVRejThDYzdJ+
XsLmV7PgzFtRXev8CuKMCWtoi/Zsxh1qyxyl8cHgg2ZtnVzhloHNPrwNGDjjTWWI+q3XdRMyd2nr
CSpc/ey3dvdJWRW7FT8DgLbRYVOSTcyjz7E3cWeGMc+Xc1e13sPM0+91phGL3WyZg54pvEK0uzQL
os+4H5mv3EE6X8orvdfKxsZKcKz61KNVb+zI9N9I7JArLfrqLuamhiGZZwd/obTAwhbkO6l8caNs
16Lvq3UPvJLdfWt16jJnijrhYlBnSzVIEpQobbsKn+E0ONNupoGMYOGifS7Q1NY35S6m7uDm5njp
04LkvQXOkkc8RTFVVf6qysbT19BAmD3AxhhxFoeID8MYW68l0waWrEzLb2UKyqFbgpxTijmNppsx
TlYVXta3jBlyE0cSnjVWr2TFDx9zJxARA7WddKLYcQuAzEpA4cMOJa7VtOQDJK2Zv4PRVbcJWUqz
CIrLV1GQK8xovSexMZWfcxtN3xV30GPiGjyGImPeADCg90sZxt7T8ou85RchPhqv/ekz1+606Tma
12OPl5ks0b9yd2bLbSNbl34i/IEpMdySBAdRFEXN0g1ClmzMQCbGBJ6+P57u+LvKp9onOqKv+sZR
tssiQQKZufde61vm9TD2wiJD1F7bPZrxZO8SMAbHJO8Dvk2mc0NYCgixV9u9BEswBA991rnn2InJ
WU9cBkeOC4GXQQAT7r6uj5NbewcSYrkdDJp+NwvjjGZTps51m6q2OAbUJvRxUBCUx5MG0RZZZXDK
IGRg/Q7bnRXG5g/m2wR9W4Sar4qahLMyLdXRS03G8FRQW5J9+od89u/nJbV27M0T1CVMrxA6nHY9
GIKYeoNgZPKp27OwIZnRE3o3vRifaCXRaTLNqvMzJzt4Kibr1QnPnke3qxPoRsLUTSAdUniu4G65
9N+WfuPotHwxS2Z4qKhb78LRoHRJMCriM+41LDko7Pa9m3q4Yp1s43QmypR45rksGUb1IGbjbb/0
EIOJp2qPLtAYf+0OdvyqEjLZu1Z274SBmicSnrGheqnBAu6O4uJkA04BXm3dKBXfp5bpnExp1DTO
wsY/orPw92SZ5Dd2NndH2ZvymLlZ8OAxMtnWjL+TjV3znM7d2J9prqFCE07HkSbwqyJSo0G86OLK
PErc+Stc1LLp7QQlCqL4b2NJisNIbtOjx8rEPHJAuwcPzV5hWSq2ST4k21aQ6BV2dN9S6LFqBQcs
OOmil5fF0Ca3ngI4yKi63nvNtHxqyL43UuCzY3TPKqibjihjB7GgpHkFtMyQ3ZmawH7xUmwlG9Mc
OXNhrnI6NrO+GVeJj57RKSz0u7bxjLexA64wgU2eK5wQaIN0lOtSX/zYLtdqDowD+Cd5YzRmQ7p6
rT5MpNcbYrHg1CNrYTHuiCoTO9gX6jyaDRDRAkOOtWg2Un4rDmCXqttS+6TtkJ3ib+oU4eN6DmIA
zE7KM46bOr2yWOLdUKgWBHBpj3dWGXYvuM2tl2Cqk005zMh36VyhRoVJgg+8BJ2/cqdMPhUdh/Ft
Jjo9bxaULPXWKOnlHeEN2LRkZYOzvaL5MTDVTIzXOne7m8BMc3rPHKILcMw5itE5JS6p8b3sMfUX
BsNgRa/5IMIT0wYx+fAr96tltwyT91HYi/cQ6LCxtn5dGirKc88rt8JpWLcY34ftqiw9XCJDGDgP
HUagYj2FmT3iQQjl6+Ai/hoNk9l+GEyme9AdjNCbhVb/UwaA+k058bQz8hoVMmBihrNCdZdxTjA6
2LMd3MuJRpwzutWZ7eZdWJncxAEYAMJTww+jcdKtnCGtZY7v3HSBXb3kANIQbwWaTDsvtaO5tnB5
zv2BT2GJOlPqO2wSfrCC99o89j0IETOelyfal6iMEXPeO7NHiyEnAvo2GRYYHb1ygm+6BggIErQN
BaYERgeG1oa7Mfyp3dNDRpvaMlh+ywhKQE9MCNupr1w/GtJLJuEUbhKoaE9FH9e3CQwIt/CwM9il
r0+xzU6w79hmqlWGdOkHUV5ds07BcnfXcDMM93SdxSWQuE1WcprLcJP5Myp05s+22IxNUBcbx2ly
UKQ45ks37C8OvqVXGufTxfCGGlCrhdi+drtd30nn2cEUQtRa70ZZgPYDx7Q9b7pS5OduKGfq8inw
Pnr4c++Z9soj3orxvjVscC7IYlOXADPN1MWySn5Nwd3dzRmnLOjOxviGZRTolMfhepsKHPiEZuoz
zsirO9QtwMkWfBCXhjRDY51IO/mOrdQf1plrWY9JTKN3lVVm9Zhnvh1pI6aADr1FsJ2ivYcrRyGl
K0fctbAxHlTSmA82SJnzbAiEHdckw3cG1hkMCeLTVqMKvGssFXmGWU3ezT7rseN5aWgfM4WbG49Y
ZjLnHeh/Mgev/Bvs1vEXnpLlU4Y8PNGUcmBbjSZ6l824oPHxZocyDsxq+crdBscRBQw7AV1Pfe5M
J/6ajP66wPEQCZzdr+g87YMDIupkIhe6SdMY9IyquiNrOxtQF5rfnYss+5pu5OwA2xvPnpFJAjta
/0Ynubp1p348LE46/OoGN9t53LYKRUyo/JXqNbTvPK42bYnAj3TDfN17fb2vXdgqgnWbSXZTPsI6
EDcAU+HlFfPwXZNUJ9eLNxNEhPNmn7tAnrAkVurTkmaXRsngNw+USHS/MZU+F6MTXHBEll+L9P3H
xW75pWUd6pIR7GcPEqFFccK4I/M7A2gvcQIDn+FjjW7gix2oCvAPT+GTsVhQieqqhVcLr+l+qPzu
oWmu1JuFtQXX8eBCIzP7/r5y/PIoQag+WaCOScz0/HtP13QTzLkaPhbaatcNebRPwdB1hNxSlayS
eiofilQV5BqFuS0fCWZdLrpgxJZyuGFKn3kXhlv1oTSt9KGzBRD3Qov1OCpKDRdPZtuiz4PXEZ/B
V3motJvkzNNt/NAWjgd++5biDovAL+lPSubgDjP/cj9D3VKW2FQFRhCF9m9t5+F88voZpejkTOjq
/Gadp1jdM3JaSVwQ7Iy0Lg99Z4p85Uwa5YFtek/OxHWhD+bhmWW/cUue61VrdNN2pHxlQjPQ4TCy
KgZVlfcfftp497FpwkRxHay2YN7YsHmU8Q4HA7scxit5g1AKH8UM4ug9gQt/y3T1q2kLgrVk34lz
mtg+3KnGvWjaGR+1H7hk/YEw6yl3Gd+kA3fTZBJVyDzrmjaNWsmkp1C0g/1L1jGAEEyvAwb7pgOj
S9u9hdYhgJ1C5LST40BEwSvuvZlDZ8iRJaXDiQJ5Qk3CtKUBxSJfmKeS7snnG6Wqb/YadOHGxBAQ
4SwKmp3pkAxQY5FgaNX31QeQ5+7E7HCISg/R/djV3REHMJQItvt3009N6DhDGRjrwhyRXMWCg6yf
M7dyloEKBoTNdOzsjlZOpRx4NXlKu1eKTylcTCxp2RuH2IAQ69IjwRJLH+PUa5hH69BXUq/6Ln0U
NTMfJ7Smp8zX7jfQev2DYLb+CZUuiQpeoa/rf1wPt16YY0haHK0/VMH8Ep0oRQ8tUo4mxIJSYo05
izHACJJpqqJ32GiKPj1Nhmn+QGkaVNEkYwAeLcwLirQQdlvjm0cuCs4xezDoH+mMh1n0CTsXvLdD
2wnpbmRi1xJDXzm/qqCwmduk4ZawDfb8WqV9FAPSi9dNbCM/7P1sOQ1ZzOrdTzahrqHXweXqkAiJ
Yva/QlRd9PJMJn6I3hp2KzuTsbGysADfySpL2xWNNkhTecoutqqw68DZ8wZH3YYaLtO6KFzC47qm
CdeV51rP5dgyR7Hr4khiBOanPjaMA032CiQMwdn8wcRDB3Ejs5+Z2TrlamIg6q+JaxbfaszqO8kE
9cLmxdmlZLtE0MPWfujNyio2vr3oN/rNdgSswnhKrtVVFfTLdkhCtG8u88FoymBPaRRGMB1G+7u4
mpN72n1bA+FounatYYy3AhXBOqQ5fFwq07rRMGDvYF4SbWtdm+QVYhvGNHaEpMfiyRptnEHTBXDw
vZN2E9V1B3arbm/muC4PgAKMqC8sJGSzGn9aUkAm5jhxZ19X52SZg43vm/WtMUp7jVq2vl1yAUjB
GjrzDc1kdtcR+3cCBAE3vjfTACzhiGrKEf1bOsjlAnq5vm0KFTBGt4wId2J1KC3f/Colpms08u1t
NTTpOQb22sJVRuwFoWD5AlKZ7hMr9A/t0kx7zuu0ifHKiO2/dBz/r60i/98lmV1DiOyrWOb/bCnZ
Dfln+9n/NVXhv//V/zKVYB3xsYGQEsRkB6oOP+9/Bit4wX/h5jAZTVv2v7KL3P9WBtnuf/kWzXI2
DVJ+rhqh/60MMv+LtAUHtZFr25yYLff/RhnES/zNU0J8ELQ5XLImJhWfe4q//0ugQWhnI/EKZML2
AgznCkDv/JradEX+8qH8gxLo94QkM0S5gPSIkYhnc12/vUxH9ziH5uJFnluMH6NpBFu8aAmntL4Y
d0klx92fX9BCw/XbhaHEEpiwzKuIyroag/52YdVSYOOLQRVYV4yzZByS0jvANYt4xqk3dKyyxwDa
4L6Pg4cB+ZOxUmG1fNQzU05ThflN56XOjUV3NCJYLL+BfTKdqmRZbi1dyNN/eL+/C6WunxBfuSuE
AIdl+tcv6i9fRO4bxTzpGklM3FTfE+iJdedb/MrxG7ocWFMEkb43rbKg+W6JPv8GDDS9zAlUMDFc
+7nDUDzXjYYKo2EK/Pnt2f9+n/D2YJD4Flo17snfdFx+SH+a05EXse+7p2yxmH1n4hqG0E0pHmBN
SExNJ/1Y9gjDTYODR59A7+U9B3tmrf6rDRT5TNl3tCxJXWdcNA7FCnfBAKPTU2PxjuAu2DGLJ8IY
qsePIbEYws1KPvz5WtzffVTXjzpgtw7QeiHduSad/PWjDrJlMnsw/JEcyvR2Fm2wnrS2k42WQXoz
tbjyrkA3ERlNN30jNAHsVFY1NWQNAnevvdC4DCjg3z13dNhLIURVhSHeNDHDXSdOfpvZEBqzkSmU
kQAcGMZD36RpBNL+XYor2jkWbyEHgbveII+7RtEAlXwvgUwfirb07vDqUEMY8QIMIZ2AddiZFW9p
mROLhQstoqd2RbtNzokdMv0OPEJs2W4ceRSe4tCT02DDlmqbR078wFWgLobIARh2vv35s/y3eDA+
Sw50Atub5VgO2se/f5bwL7tCdLOIrNipzo1Z1Nsmn8wrWXnnO9YvtlV9Hig1u3VFoFe1xxY1/QIp
1/5gYNOfVDKNHEoo4Q8T4nLEWcAwqJ1BFpP9Ku/xNcPBA/2tj4ms5u9wmKxHmpWQokrkKZZTJLdy
gbW1Rl9srubE1LdBMeTbfvDM/3DjsLL+25rCk3ndElBsCh6F3y42ALbrXx+CDkfdXVLZA0gFsAFg
/pv2HmBAuFUWo3+07WzqKsBpA4yMAOggADi5uMGz6MT8s50S8+vP38M/rK+By3eBDxGNJyk5f39n
ZTJXYynIK5mYT6ydtvmVjvPB7SGY+Xr8D/Fz//AxBG5o26FpEoHDkv73F2vYH7CC9SKa585/M4kf
vz7F+fnPl/QPC+LfXuW3p7QM8szrHJCMhZNlP82G3j5pDEjY3b6et39+rX9YEUj1YY9mR8Vzc80N
/euKwC2ZS2krQkOEYx8do1q+EWx6t27r0KvQHctuTVQyeW6mWd+HuAc2f34D//CRhi4iQj9g/Xf5
z7+/gcaYhFSpEMQW+eOLNRE3oGPoFX9+Fft3HbAILA4OUI9Zwm2TScjfX8ZmyQ0geOGqFu2DpE0M
AIEsEaQBunpqwuysayhMevq+Qu2HtDTOYAfAgi9NgIlsmjfhAPG/x0Zy8TqJASMhelpoinKJVGHG
mSKJxgNjkR4kVPKrZX9pN9WkftKs+Q/i4t/vD0GAo+uyV6Juvp6rrlFNf9kw8TYWCsqKHym2HcQg
DN5IdUg2iwcJ4c+f2799bKHJ3uw6pOxg/iWB6u8vlS70mv2BKDzmA8lNPBfGHljeeEzautw6XUzI
k4/h7M8vylHw96ea1C3WG45LrKy+4Hj299ed7F7YFYLKCJfZE0S0JnISLO1hrKc3BwKXxyC0ezBQ
1LXJ9O7T/LraR+zPPEEZR6Fx5Oyzovr0mUF6952kmmJxu4bWomTrKTK7OHuP7e69IfkjI51vFQSU
+gCw7ZUqe1ifkz6IYsSg4nfmfehNMEOrcoUDmPYZVgeyqMzZ3KKpucbSYH9IELxJ2yi3vkZ0F1Kj
rhxZXQZ6zhSvYAV5nohbXbPoHwo3QK7TDOfF+3Tl8l2bS3eulwpfqxDJW9cYw9lQub2dQIlu4iW3
VpUKKtpWPnGTgH5gCakyf5+vtCk9ZHW6DnU3ftslcyY3danQq95x33VmM74zqycp6YgGu4HrJNDI
+mJs10aoUhjaGEn1gZsIvltfinYrVFFEdRaSQwVneo3GtLpzVV7cW9ojbcHOVU+kF2Nyi27Kz84p
ghOIHjy1uKpIHC8mMnCsMUbAgX1uE7NLfYBlnKKsqxFd5vMagdQjgdYwAZXDkKoeoOGtF5XOR7S4
7iVOR7X2sznShJiE5GTAK1p2+Ff3JFQMyGNm7W5Ah4S/5gnL1TQ8qXH4mXO6fMnsptiiuauiMBhf
qxTyWqW7bTf0BNvYynpRee5cxqIVNCVkU/GzStrl4RIiElcXcltedIJlcARwsO8lCu4U7caVTkQb
B1X9eG71onfWUop7OPvVd93xtQ1tgI0pTpNfWOTCXXKl15oqkBcySay3WsnydcqcXZ33DGCyXAf3
TVPJC80fmi46MVNsfrain52P83OZLDTD43l4lnTk1spo5ycjjeUObnxxZ0iV7BfdGg/Y6rK7gXkG
vEjb3Fiq8nllT0IHBIQLw8SMkGVbn0YMIbGBCHRntzhHU749Qniq/pIO5Y929Ocf+fUK8VMauzYe
75l87pbmybSwCAfVfFbxfIoNv9vlZj4dGgLcvmIa4E+NyS2pnAGl5oCMJVD4Dw2/ZMTWKzxkIYPT
Rifi4iuIhYVqlo0pZwuuZVv/CsxObw3MZjcVeJAzitWfMOjfa5MQRlTrDeNYGq76FUlls3eTCSfl
TJs9dcB6DV0K+XKCdoct/5XR4qsMJyI9e2G1P8rG6l+SoPD2xOBUu9CZm4joExvg/tThPmjFpg1b
b4/GvNzit0+YF/KmyLdlAt3Wxgn9DD0oC1pxW9QPrLB6ryo1wb110Bh6dbIj7xbN8fjTEQmxCwzE
O6Q79ao2HU0sR8r/wET9cdRhEI16NLaFEwRn5Ix0YBsjeHSG+UcXiOahbCfvLAZWBZ7BZeM62Xgo
K3G/SNO5DGnFd2IPUBvpyAw3rtVNPFR9uk3DaWJyBebKbuStn+M3K6Borf6VwiDiJX3uMTjzZ3I5
mqbiAhvVrUHe5bSFOkZwHtxXYaX5ZzfQ5xsx1d0RHQvxZ26mUy8MwPJwEjZpmcMeyt4VsUNbMgzq
DYQUMCRmuylGEs80yb53aO+d1Wxo+8uZ8oEWv8o3EMLMTYZ8+d42KszgMaWdt8X9/uLECtyAkyCX
SplLWH5xxniBPSCejxZGjsHpDguBccR111yxLC6oEkGHzJn9DYm6fJBjzkk/mBYCOjubviLMkhy9
rndubY9mqwTmQtzRo0XCB1JQG9NtDIzQH3b1IocobG0MCuqY0vZGbv2jztzrlGV0GWJ49q41zMeG
PNou1eOpFtj/p6HJ1UogZH/rF5jnUk11/JFQno2rNK78LYqInup6aY+91ROFVTmR7orkbliwx/b2
ZME3dxa4ko0uAJq0zBwzDJMIz2sXmb57jSeJ6c85hCLmeXFsHGO8N6xMbZG51Ldp08gb4SGUcD11
QTmPDIzB52fmtg0KCbPYkaKUvUBJgyKr3ew2i1vnjXdN/i9hh2SJZeUu1MGyS0HwIiQ18ht1NdP6
Hjtna8+K50KCwiSrbC3JiLidmaVtQKtVB+lgTrdnQXu6LcxTOUmMLIrFO8/aS2v9KlL6CAwE5u4p
6P0aSW8q7+2pnB9wDQRHCR7h6C9+fjRdZwaC2cev9RLObwNc7XVol9aDTpTaAV1jL0ztfOe2NPKD
RizwjDq1ZRDmv0mEV5ggw+YmdxK223S+N70i3egC/SGdnT4yudpb0HviyKycECtnEBHjDvPJZop3
KbPeoa88BbdumBCWHubJaawC/qsLR9wc+besFKBIAYuBEERzzy0aEev0I6hEuq2RiOJNR/8O/Ycg
JgzqknM/Y9f50KEBdAg2lsOZ8Jyo6rz6PJUAQBKydvu1JT1CKWmOnxzlNQ/9kolvkanqDayiWMON
e5ljV2wakJ6cDPpxJ6axRUqx9IwfXYJoDderGEspnD0O2iLXN5wNmGZ4oThZHpGjutdYgjIct/Ab
0oNywCiZs+uuSguRzOJW3Phx3xpyo2vPPQCRXA51YL4Gbu/fQxwbUX0axgUtYHlaMvXtdQAVzaJ1
OAGXbf1Yt8Od0TlkRWE2CdqbpFiSe1GE3oZsJejWKGwOo8PnnAByWCsHoQXtqFOXEMqQxGsOavG2
jasJlLI1pxESrPA8EeV27vsueabERA7BHNLahmhq0pXfje2d64Txi9/61kNV9ebJ7id5A3BSn7TW
3XcnMhN6nkrTp6nmzRimK3462gy/AiJubooMH5md8u+sODA2LRorC7yXNLcI9RxcW9qZP+2w82+r
sZsNLF1NHQE3qB9k7RMIp/LxZzlpqHe5Y8gj6kPQfhA70SVamfVsxJxJCPQMAwSb7Ncj7R8irz1m
o+4kgbYGg4qfXGkNfPmII1YdXo/drBzgf12sPLlSKeRcmvvlSyNCjT5rKcllJBAadQgz1jjKYdN6
K0KbwzukN+PWLsgDw7pHeDBmGPGeKLYgX4JPQrzg4/gyjHlVTDgtpqkKT+SESt68iVWI80zuRKM0
FMx3QlLPGvcWR6a2k2c5p90pH9HcessPmDWvA44JEKyzfdMmMSaxYUFaC/yzWyq1ntMCrYCzNBGT
45qBM9uNafv+lXW8qGuLiLStyiMwogyGW9tprW0KrGtLJiecLoZoMKWrWB/GdNqCRN7kFaMKdtcM
tGqFKbmb6/wIxkS+1Ho5DvH34voPwWQ/tcH4aan0EMzJhyi6t9R23X0FgeOiRjPYd2aNwsis/Nty
DIp+UzYZFjvTAgbQLHANK1O2JDOFy74qjcGiFWVzTgpEDS6/7R+Nrig2FgAKUuekPdwVNfT/VecJ
gUyPkKI1b2G4V7FILmWoH2Pm9/vGret3TcJgs2onSGK0lqafYx73j0vlq92sGyOqpfTJJ5wTtBps
e9/DgGdeVrAnE9eLV3HtyB1PcoAQom0uAbLo/WhayTu4tCu6YECI2yQ1+ZUhbN1CXryChgvjqgwa
b5fJg49F64XZC5tOEIwOasiEebDXLNSsJt6gFRlu2S/+DQETUDrISZhBnq85xqQumnUm3cUU5BHn
/+7M0ChLI5dWa9TaIeHUbmqgzfOA3DJa9HfYznuWXLdxSO6xjW0NUOzR0NfQB5+m4XOK4w2QFzM9
WhQNRgo75OGG/kgkPEPfeLlY+YSGp6q/e5qOW+305ifPMPoWZyLyBCjgPcFeSFz9kJxTDabi4NSB
cTJTJyZAXbfFqUxVfG45fOAUKOp1Y5XNbohB8GSOax2rJGAiZ96Qloc3bEgylBtk07qj0TwuAig1
apL5khGlSlEXeheMy+ZHKsrwYSCK4WT7SCL5kcnXdSn8qJImfRwgrQj+sLCObc7AW+ZG+Owvff/k
E+1GukeffbGwlHdQzfTzZM4ZFnbI7VsLDfDHNNeEqdRpsU8TyLllnyV31pKoy9hqEuNy6RxkAi8K
6CZpbgZpEJkc4jOSkpoHiN7LhPHpWHFge63CDF9Bi0Rxx5lHSsRs4IOCSod7Nfr4MegyZGc6g2Q/
uXQGtTFXN004diRfNlN3QRPh005Z2nkPNJXw47L3fk6WstVqyevsQlaUvKggnwmuNCbbPgif+jjF
+UdyUktTdlVnACNVHtR7AsTy166r2neVuyaKWpPBwapRixluOJznz4MlCFEiDCZyKxLjVn5VUdgE
4LdJJB7TO4MRbGQJgo3HGDuT4VhMeFF03bNN5tvWwdDPU6ISFETB/IKxt36Grke0KXJh0kmWmOKw
7u8K/yp8QyKyIg9s2EsuwVjJQNa/+K3rrSe35GgJ0Y782hAu90RtFYgHA7jOBoIfpxBMnGj8EBU8
W71Fw9Q0Od/x14pZY6yjcRntszVWLeU9Bx5y3IzxU6Rx/l4L5qFRbIl+XDc1urYHWFn9rlRgpDbG
Mg/E0rkdK0MyP3ChtNAl2F6KKjJs2NTnnfa9al84hum8VHHc/RrtHKKlTeewvrFdhstrCgP4FiE0
LrycseXPGzhRLfCjRBnG2RReHxwt4k1IQhDibah0tZcLArZycQihMTIF+53kCcbzHqGYPO1CIotq
quncq0mxFCzLoCGVZ2G6rWotwcqieReEOMuIDOfZvqW9F5sgVgSDqqDJl5WYlHHQSjSnwgm7ZzQZ
+ZoBPwgedU1gMgL9a5HhQkQ3Qp4bkEfVD2HJcdvJki1yZodF8DKNzm2FOO/VRsz1C1MV+qZFGN9c
unofYmSpaEmh+bMVsgzw3bjkRQ1V0N6JIJnvusYLJMKQpdyOYjRv6YYlrOdjVU4bKLz4T+NGnjNY
7HcNupQPSkvKRX9SwY88b0Ht2izcrwriWREFznTM+zRo1tOEWBKxqyexu4RoeKUbvzFS4rkay4xC
L2se65EIqPiawLclL+dHadOAmjpm7L3L8IR+5i4fl5uimKBJLbTAAPgaCa5GH9H6oPutY8rkKBGb
nQuBJBf4x9CSxTPigZrrpYcyp+xIGlnbR0TctK9O7o37nO3rJSHAo2eFT72cK7Egwy158dlwXIqm
qen3PKoJirbBupddbngrdsA6WGkkEYD4NYK9tdZzDFjZT9kl9biccsuiMKAa/mELFRzoriZHe9Q/
O2v82XaAYigBrihXC+EXkMegcdwtRmVj3Yh6eGllktygjQxvczfJfo4+NlaC8LL5js4WO0PFwRpU
ne0PhDNYtEHbDIuUlsbPLrwaopmt/UK5NHVf15dAoQKpP3zQqZuKyMMQhGN4zCjtYVhhJDXxSK+k
ReKxG3NxzRxTgi8vom1Jbi+W6UeGA65Yj4HuzzBa7se0FydoMVuidZd4k/UaKneIoPQ4wh09tJPb
Y3ie301+CkxswvTAc/nFDqkTdG6WCE0o+vIRDPThkh2Oune/DSYIL77zhnSZK2cbBjyP2ocZF76k
unJe2J1AhqYAsvIYMYkBLIVUkRxuS1mQc2YtJ5xx6gh4YsTorOT3XGrabdVg7GJJrWvoHP6EmvoY
MBZqaairPAeGJQ6YxqiaJZsVninNltwXtt55iA8x5nVEE7ZeQ6rgYMu7zjbqLRhzH++InYDMTBPr
Eb2E90Urg1DEKQ+I8cJ0e1iQHlZxm95b11zM0ABT7aNzOcVY6/qc+3D2ZnxdRI7Ne77xHqy27TJ0
DQCsD2l4bMbwDUuS/wIZx7sp5lau4TxZtGYrvRHsvTcY+JwT9DsP3GGm3kYLt0QlqmrN4UBGth6J
9xqxMLthOJ30hJeOXoIxR6GTMq2rqa8u6P6568ZpPGIBzL6SFtmOLGPQW4IxGmrW+rnyRPGUoHF9
ILPNf2Fe31ASZXGFPnUAphskCKFLgk2ATdd98BIYGUBBWdqP/VyH1LMki1ACyYO1IMFDnno111xt
26oY6zU6qp70Yl3Bt+AsuWObzjH8+eYE31uQ4PEv9bzXzOMHy6jqKX8FWSphM3G0hwrRH5hCB+D+
OyWrLXC/4aG3AnNPqlbcsJoGaqLsstEMh2IyLlk553eqaWJEvFW/SxviKadJeLfardV+KjADBGrJ
sTx01EDdNec3zuU9iLV7JE7Os6VJ/mvtj6zxPsMyRHHaYIxYceJTkQdRodvUrbcmJOrkoSbbJ0lq
PuD2ctaQVYObap7KU9YVTzXi0hVpYukvZdnWo98idMYrFR/wzy2RocbH2IaoGcTe9DBVk4lPXBR3
mp20Hqo66lDKP2DPSB69pap2Xd96W7uiy0xD1zlNtTvsBGZDnLRktDAMeScGDuNsUho7jdIHVIi/
GyCSbABQ/eqpVr5nMA4kBOn1MA/kSwgwjuMV3oTc+ED0Li40vDc7PwWjUcLYw0pCdyBanCV96odh
CwghclTNd8ysKzLn7suFQHdMpsk5B0PfQkQuXPxmBitpTf9p58bmQK6iaSjEhcSS2eKsyGVEq1rI
cd0KEB74MSQcKkbLMjJVeQygEi/SiMK8hr1rDFeU5Dek5GQ3GNo6zDUCKLJjvAtKqXXT4SNd+r0h
qe+gaLrHVqVner8Ns4NqR/zDpTEExhBJsqq/UA7bU0VGrR7nIw2w5wK3RyJNf83gYW1nGc2+cZAH
B0V8guKXWkKX3w45oOvCaT+WJbm1LKqKVZI1QECAT8OykoHNdmAQ0U2MjVhEdsBU2JEsFqpK4s1k
ksXRwz8KA982HBFjhdPMXzWOAERvVTlNSsoJQdb7R02q1LEaC3fjNB5F+6C3CWsu2seEyKwyI/iE
RKdHqBg1gWwpEE+Qfba3xe7Y70vYqGAz3QZ6u5EBLgFsId7bkZzuT7xQhEIGLfmLG0SKTw7YGWqt
kW5bMRMLwHMLck150RIEM3kKoaSV0WbzJTbc+FFJLATZEDbhzg/sQyhwPiKOv1HChtRVj9M074m2
yz5jP2ZX9HNuqTazmvzJyJBeu1SkafiZQCgXK0s4/tpUqREfvYz6BG2jZ+H7DvPiEiagjMh3DfJy
PQ/MRxjQkt8hrskEhQbKqGBkzB6YLQRpK+WhN7+up6EHCa/NHvJpLB6HHjzLmnWDQKJ8oadJxgsY
EC/z/HcJFu5K5xHfBDHB13fDoSIPknNzR123thtdbhe4WGRTzBZwDcF2X0LkYqyTjFSLMQm6l8Bo
32gUg2CzJ7T7uvdvMAvQw8c04bq9YLWCz2o2kISkOjtgdshu/kzNKyLdm84AQWDO1WfHSMjz6o1H
17pCi9ykTi6CA8mJOy6FR5QrKmKk3V0C6WG2vluhsQ3MttyXONSYLs0K+le4I5T+gwzqB6H0Gyhp
3ROtwzGDuDB10JDtkyDpd/+DvDPbjRzJtuwPNQM0kmZG9qPPcpdc8xQvhFID59E4f30vz8oC8t6+
9VDA7YfuBgqFABJShFwcju2z99pe2VJB44IGU5SgAz5EbIykczHZiP6Bd3fJGzJDJUvzuthyDOCk
2tFaEK3yZSi+l4Eu5NZzzZqxB+pN7K46DVrd9wYblwnAFOjiZnwEKNA9RxgPyXu6iNT0P59TDAx2
nt1cGmy2YtJiQyMwIoWpwvCN8wI9QrjS6HoGsn81VG73OxGpoX1GzdNpwRBN7EVmKYNvwlq46Xjp
FsSHWFWs4UCu5jQKDrMtetDiHPN4/hTV2c5L+diMAcifEf00sS2WIzJ9N5El9vPAExdtdbpJKtkS
G5yWt1lzaivWrLJQNhQXy61qi7dxFO49vVphtDOdO/+mJzs79EzHN4Qq1NsMOBTxi7UeI9Ei11U6
B/bNlFvwS7TmY8APZqX7wkThrYs09MnZlFMI4e1zAjMCoYLPj0/SirXYhlLkzxzhCBeRd89mZz0W
VAh6gcW+wAzZc9E1h7avR4ga40tnioZPMHpmgbyvha8PObukbb9ATbLnmQCBpHKVeluLnhRWijxX
kmcywzAm/ZqTCfWEyFfKbn/KJTnXjaZlJZn32mk3mOarrcpGXtkI+WugvCjw0EtjBwqVwWlDd4VT
Rzu6F+jErXDDqI0nkz+cHv88psZ6PBScP9/sMkBbVV4DwdZpvujwIlE2OVwgY9JCfQS8PDzmUgCm
gvmcAV0i1RSAr7/WsU+h06RMu+8R64K17V2ab0bdrIZSRfc4+s+d7pkshjo5sjlh5UDx+2FqAxrw
WrsnEeHRu/WwwNI4YDwbDbhj3zn4mQ1wqrzUMzgzYOuUp+LnIlqxLjHXPEKLHtCJp5oio8XjESb1
cNdlrM0GgPlbnhvWKU+cmiNTU3lXLQhnAEXEi88Ap+zjMGORZ4VWA1qK4wnW/JITF2UUc7wNqQ02
FpbTv2QG6qIPyHMLzbTdj75IGetobdX0Eq3GWO5B5yxmxaHUueEEV63ilq3isGma5b6sv0yaWN9V
NlnrVvfWdXaZeMfFSR7w61Vnl8I7ODN5epcuizpwK7l3AXLQi0fKbusHltxQblty3gOZSJmRs5ZA
WddemvLcouThGp+Tx1g2MDuHzXjiiTvRyEIBdM9TGlYSjRFzBSVnlTWheM2RGwgU635TZ0G8KRNX
ATsKkhv6guUn/mH4pah6vDyyFGpOT9/XKh5hAOcxZVdoSO7mwqYhDWt1b20Sy0fB9Xkf14JLKXI7
dIelepBYteA2OGrNm8dsUh6yCFSDd2UDX7qU7c7Jxs8k4QoYmnuC4d1rE/Ksq2yXhT6MV61Xs41z
elVYPc0leUlAoo403BxdxZ8ePtp3OfjJ7eyYBppMZq0djIr0qWK990FmrB07UnxSOamN0p1PVNzw
yomqgd/OWDX+hzVa73TafUeDdm9k4N5xQaHWoyati7xL72JLFP2mhyDJycGLaRUgMVnn+5pTb7+v
eHjG67g1w4HLumF8dJFMx8KP6bpJomdN+nK+vIgGe0M/w0ysl08WywDoxnIQMP510X46lPW4aO6h
drvbxirmK6qJIJ5kFuUp3Zhin4kpgLunr65+5OpKXrOyFm+j4+YbpU20jSwZ7cIqXG5VWRGB1D3n
y3AeWDvnAsBo5HTP2eIgTPkFpTnpIvyruHXA5Pkq+g7oUdvUoZ1tSWjNj/Rj1Ncl3ac73hb5VunW
HMvJrjmP2oPD+kX8eUru15NbNieLUumNE+X5Uc4Rlb2XSvLLO4Q8ae7POwKtyxmhBfJbnFkfWRSp
F9cwaJcckg7Gig06LPwPajiTnejUNnem/ssKGucKbhXATu2MoOhikVwTsZ7uuCJzRmqvfa/UkH66
QY6WHkfLo9bOMMLW7RF1ZtbHOBg2qMYr/I38P9VYw9MMS6sn90H6ZW0PnXkUU2HOXlY18mz7YNg7
KIJ4l6yx30LiTw7U8bBBXzL7bnZjemMsVQgKVuN8W6sOj4oAmKph0zzRweOc47piEBEa0SZ3Ru5n
br06Miwx/SV/jtsCC4mFhWox1Y1VWc+6tL5drJ1PRW01D1XvhTurmpLLVHtpYk+SF9tqh1uqifWT
O2XDgzUPFXCc+xGpded4af+WVcrcSeFObzRydNsUI8rJrRJ/3euwf+Ox8qYgItyAMWY+GIvs7Gae
cypzY+9zGmbuIrhk61AO2dcwhGbXwPlftwWoa4dVAYA91z1wNkyIQtUOFZzYP+RVrk2zH1p/eS+i
5kKinxfnk7JD5jFzwWjlzMknEibRBuwQuqxXAhFSlNJGlEiC5LhYI8re59EEEKKoKaxmLNy3ru6P
NQ0v9IMK8SYDsFwImkNYrJqkEPeIrcmJVLZLErxL+a562lW1nV1Ffe7e1box24LOhQ2sAthoAkkj
LX9IlezUxDsjD/tpzxhNyHV2PQDgKZn48BIkbBSqsfKjdz+Ov3ApffuorTCc9S4JxQ4WUrJujAL0
1lTfGYA/Il1UhyRtvrr0F9XZ7JGFGoiCRtcjUNmJrjh/WvRmojibOPxsszeOt9yy6154myHR4iof
6sfZiAOOobUGAnCYSeSt5Ujdt2QrBGpqYpHl98g9haGsyLEOC2WJuesd+nS+9hrU71koNkJ8y4Oh
LmrndRF+5HpJOEz2ffpb13O7s+BQ3BBEyh4d9l9PsuTEWC0JUnhRif3/WC5Ao5bV/VbDf/iw4ti7
4Qhs7xa4EfuSxM3zn+a1/+7EyP9F5SI4/2wshv86CXLXl+nHH38Pgvz1JX/FQNSvi8GUl5QLm0t5
Nma/f8RANKhXn6gHWSMkU2UHmEP/CYh1fknGan3xhV5CIBgP/8mHDX5JzxE2Xyj1xfPr/DspEIqv
sBL+vVvEZmDmJOEEeMT43wWJ+3c3ZRRxvktKp9z3/WAOrcj6jzJhZxv5LpkoHGLMGHST55ZXnei1
jrl8y+iqnfyU6GcJgR7T6QuUJfkFKKPk1tfWTgvb2zhUnJ+srIy3DGtwD6UMjx5dlCtSCh+q9+6A
q23cHq+omooTCHOmMDznYAgx2lGxeHaR5tfDkrwgY3+FsO3cQRbHzNS0Yhe5WLAUZtOOza9ekz1P
WO1pYmoyAa/UZHF+dBevvOHmXW5LoYtPdB0UfrIjf2CqIT+Ye+NtHcwWD1krQv5QXvTi2INcs/mg
DXbuE/xSYfYb4TKn+oe/lS0uegKw6PprsAnweRTMvXqFGa+s8hKIUIIpsCzuawybH5hiu2MKvOBq
bH2c8JbvI3dIpF5jKtyZjHX9XZxP0wEiW3mqwLICbzVyWqsSiGMM3uZ5Zg6K2ml6TFB5zib2YIuE
EOKsQt85Xjk8UzwSfTd50r4lavTuCxvPOXd8QLNDg02q/RMuRxMUlDRkAWd+oWuguYtlIh7drJFX
PZ/1qSvCBO63X76M9K9hB7Xd1UTCfcOlsW6bJv3g1Z6c6dWAbdIkQgSratTDIz7L4ow29B0il9IM
lcGp61XzphIIPhatmp/UZ//gE/KXjQ4m0kX1IYvlsQdXt4XQJe7ZX9uE2rFXpgSO30j51dcCkeTk
Fq2LoLjkXx6JULrlL023hiZQOGqudcbS5JsVZhH5Wcu+2dfs2xCPYzwBcTseCxvU4Ahr7ABakgYu
aGdXorScm2bW32F7Es6bm/I321AJHo1VVMdcGrNZwlLTHZj2NVDemWBBgdhO3YMoeIeqKjsH8WL2
ASuvZ4d+41vEinYdeVXzSi/bfM7nINxENnua2WkgUdH2t6ZRgjEauCaUXuUENwUEZg4MVY1JMg4Z
uOnGWuWW+qHjwD93ve62jdPANOsaQqKVM1113MxnnPjPFLBBWMkkLspEU3E1t/opYHbcQXrNP+CK
0LdB7DJZS2Wxbs8isU1bij0ahOLdQg/eepp79MLZbjaqr+wtBaY9Otnc3BTIugen4X2Up3ZxVdCA
Uk7tvmBRutL+AhXJDz2qKn0CwmoFpqPeL9FluU8XKKSzeUCbGcntyHjeCy9HmpOTTyeMnd3XVLrt
aoujYga5CtwE72rRqr0DqP/kO7b/ngGVAf5hlwONdc34oMr6HQPQH/hctnIx16bUnyB7QQ9Rr3Co
rda7KIchD5/LdyxaH+SNGHOYvA+j8R58kbAMzHHxQVWZsRnDfnBH8CxhgqdjSoovV1bnNlkm3tdY
PUSvrIdK1f1rjJRNRj1b9m2m7FtdpR2OzVKc7DTqjpVxvW3f1fq787Nwpyrl3rQ9IkrMAXYbJjp4
xHrPpzp5Dg+PYOL0i22mkhUZ1iW/KIkzJdfpUk+vEb2NVxx94m2eIcU7tq6OkyaLrbPB7Ad0iqus
kog7whh1ZRDJ9rT6LHd+tMhdpHFuhJea5DmcL75rftv0Y8drCQxvJSxWs1nQQLkLCWbV8Kn2Ti8Z
az3l/lGnAozUnFXzdddCICvsbjra6N2vc0k0ecACeN0F43C0m6k8lvlIggsLwR8EkbrTGDM3skq0
sYbC0sORxuExHy9VbJMzus/sDTWB3Dmvt1k59XiwvNgnAMuDj0Jv393hvLkAhVT0RS7vGXdPs63n
ZG/lePv4IA65V+kNLwz5NpTkrMwIqIKfHHoccK2SaoSZ/p7FV+lbGxX0ARMUWWNC7HZVlfqbsM1R
AFOHKIXbxpiQgp77v5slTUMioQlY2neGOqXM7jloRcHaIgq/SgN9DRIIc6Ib029Do126cJj18HuU
yzCdZMW7G5yF1z0CYibu3Y9foKuzw1hdDN/hwK4ruU9dLEbklifGKg5ziYEp1kHF2bsc0fau5Aku
KWlYT6HbbPtiGTiNYUIe9DModorgB77BWmT1/FbThEJLQ1jQIzDANcKK5IVrG8AYOK5239lm4YAW
QjRj6fFgq3wA9ThRMTdQuhS9d/RiTnnyRJLv7ADwpZNo5IQbFVvTWfYKUDa48slQXUTrx3GqMu9K
p6qBt+56r7II3HfjpuMmIX4OfCphRxDWj6wraHlp2KOsxTDAmizisn5j/mURq+buVhdzfaos3X0X
gWetuHIvr8GZDvGsKHdGqgBl3wQPRiUY+ad+q+z+rYekE6YgMkeaQUQR3VRt7PCaBVweolLiYqBM
3d6EKQ/VSdhHq2mi1eiaa3eaCZQ5tL7EGIe81N1X2HVbZH/ILymeNSsrMDixZG4vLogJLozj+TT1
5um3MHMgd6pE41nlxmkf3WhsQMV+68kdf8C0hGcYiOQtQ+mcZNf65X4Yk05tqmrsPhZeQ9/pYnOM
Bm55B74eIvqsaIza4EVenorS754yMqkWNURZgUKIKfJ+HmiomGvZ3qBpovvRA4LVyJntFx49WIYx
X+xNU5rV6MzjHuyI2CyYPzb9ZTc3i1g9gtybrgp/Xoq9imZWcSTVn1C6eUk3/q1vSZTMwrde2GFg
IK0YUSK7/s7raXqqCw1H19AHTMyAt7frFsG973GEQTqryqHYIhafARHvFEDBVef2b6Jrn6nnMStc
WO497pZqVwbkrnjtBTdlWMTJdoaX9ZZKFqkVY0Uks8809vYwhg6LSU5dog9jN/bs8zz4SPgxoe5e
2ke2Eayp3KRQdQEPC7s5VLK/my37IbPjT15oL2M74HX0AFGOQAqiqNlFwkMTT2uu3XkRvHeZwqgG
laXSmxQd46Y23uWQV7CRmUGAhnhXcxlGUCQnDSA09nqqv8lr6LoZ4UmaFPIsyewnHr/+9byYHgFw
sDx2sQFYeMHU6cVnu8oSrHnG2iTD6B6axdicx/35sUrz5bKmlXeCPIos0i8vYoAtJq8/9fyi103e
3yiAQEcrhrJmLv3HEnAF/n83oCA26TakKacDXmd7XbXWRzqr+jA3eX5NsI5X9GXF0+mqXXEencht
xvLajKG4Y/xujr4enENdjdGxCdkwQz1+78nfvgwhzz9nSJD9s9kaV7rr/AdSiPVtEAqxxyb54ecU
3cqgrcnlsjDGknPVWHADTdO9Nar9gIwnN4nTeSusGdgD4I6FtrBeZVL4b2UxWtuEldBz6RHqUhi5
+HUk/ZrCTesb7E+xZaJU9+M8R2sq3Wy5Cgr0JNVk+aFrGoyVgzq4Y6f4UIvoOoysGgszL6kILr7b
lf1rHXfNtUx8FJ+kuuBIGlwdrWqsi4+Uzd+YGbyTTXshMod4pYoQbDf+C4U3DVarJ/f10IfP5Rw3
93bkYEPAPvfgtrULPwoJghlsfKicvHxtIzR4l5JXYkxyfsCob9NL3eVfFfTpfUO66Ceo63A/YW1l
z8QEXevUu6YNiFQHPX7FR+Ik8TU7LyRZQeryVGGFe6TOGIS6pZrkxdg5r4wcBDwxUVxwIL/2kVvY
Z4xN3NdDhNsjNuYqxFeP/F1GvwEACSj72oF9OhZfXtMHZ8uv5cssBKy+jmCscnvzHpgmesiaNH+s
xsk5jj57sBU92QMfPeprzUmA9lcguMZcXq5lfG9S6JatjBnYjHnp49A7WGYazxru21qNTUl1QGdO
BXm0LfVQ32OJ7sR6N1ZYwGdGt8kNd9mi/HcxtRD68X88jIsy26kTlBgYwLokmiQ0Til/c2RttksR
Bd91FzqbgAPgFUJLdauiJDkPIk4O0usYyNnxHyv6M3lreMEORocvWO7eYfott33EZO4ngTgC05Zo
bUF6dpb2trBjB/FfmtWgu+LoLxlrxppqy04L91rSN/7DD9psQ1ajp4yOJVBntIdjSpl/yIZ8djR2
rXy7pTN49KONaCc80oGAajMgJBYUQ51IMZ0H3LFNI4Ib50LlpNdkWJNzTl4TK50psM3fQXQvVDGk
UOLxxhdyAeRlF/O6csx4uhzy2X6X381ION8vcI90wUyFYxxsarjUL4DfLBf8IMVbMffcJh8UytSl
jg4Ijbj2GMHWDXSRZ3xQWGcre3iJ8L8RoLAfU6TNHfohtU97kTXZMSyG+3RUGx2NPFxmRnLb3lmR
mM8zwJDdJYa/cufpFqzcH1yeEyx8git9hWIs59Zsmq4B7h4ob98ugkRDZpf1WrpcqDmKXNem6pac
/PsS2+eI5+eWqk/iLY2f7KrGomijtqCneHiUgHHlm8wjHTHU2NLsmFJi7Jg4KGRK/7k06VEMVBo3
BBBuKZX29mbRDZV9RBK0Sw6AaTQ6JlMvoNs5PNrjLHUcXMohAP0lcF4dh+HJ89cesb/VkFd5tK5q
C8p6Jg8xEEvfx10SDeN1waMQv4Y1DY+GZup3Ao3cPG4sws82xKRGUk3jfMIsizvIHtL7ohXWw+SB
JC2uWlqgV34X2x1jphzOZOTKc9ql4jdvwPZcWznH3LjlH56CbFktCeVRJOPgMbtL+OKI3sOqyrll
1SUz51Ochmj8bSb2Cnr5XteRemjLKTtSz9ZfkTmSD+7keft+cNpPSP0B/abw8t9B7nSfU0HZC8FN
bsaBhycfTXAKG1EBLRz8AwapeQX/H8B1ZboN38B74yw9vgx9UjxievRwjDo0VYmyWlbsEW9dfqf3
gO74xyw+OTFn/K7zFNxOsiTH2B7E7Sz4Uz+Fwdpz3QEovQQubkpLQNRSYlt4l/RhGEOmmq1rK8W5
luUetWUMFgDrGjThXOCFc8ArM6an3LZ2HehHTVp/G9D8w8BdFTc2+2SnXfy1HUmeWEOUHAjvZseg
hfAZdNXTpLKPth5vljmxkLOTL0BE6ZVu2ptioM/DnifaXt3p1XD48bmHYQ3MN30w/66a0jomKWaq
/98VTaGE5wOeIQz/r1XNY/zRZvFH+fV3YfNvX/lX+5X+FUgwkYEOkBbBdCAf/kPc9N1frmt7HhcL
CzWNgPmXtOnIX45P9Jh6K9cHkCPRQ/+pbYpfgQYvEEjNkVQq9W8RbrT432LUbF/I0/honEDQlHv5
739LinOtpdBz52VPb8zSrvPeRjoHrOPGhMRkz+ZahurVRAy0rPVV0m1rk/nDOppbTnfGoLHhKcEF
NtpjwGNbdnLX5VZx4099txNj3D3AESMAKehASiVsME7ceXKICS+e+AcVm8IDzzQGvRpvZumP07Wq
7PZUYzBJCEACt2LV4MYJ/RCpjvH+aQhYaVzlD1j45AxubJ4pOdGLC16RAiVqaXVMowpTEGICvCfG
VxoB/YMdkNo7ZEyCD0MvmwPhB80paCrfJGSYYN2Hov/ih4Nh6huqXVXk9k+a1Acofisk6Y+bIdzD
ItDp2hoBn6xGXvXEJtUACtZtdLUDngK3lcqm5Jx0AqERdJ9XUO5QL+QQstClKIieSkoPEUj0ATHW
tQ8ejnsI2q2X6Iu7hipKAkvW76oPA1REJozrKqzSj6bok2vj2CS72qrSyWkiobAAepu7EiKLbhVR
POLfqwpj8hsk+/49dzJmOAU69ttZLPcnRni2aLOqa3aIyYzPkoQAyVhmJpb+F7qzrKfsICxnvLMW
izen2xafbhGz7c7oX8y3czNab6bxZmvDGM5Kz2MIv6PZIARe7UUUYy1mgPIaVkP+VMHWxq/b2R0l
F0SPq/Ul8Pyjamox1thY8vdFd8xOPQ2ErO4vrZawKRMX9FuLKynV2UIOLbSCE5DUeifqctg4rWnu
6pnhOB7a9uB2VfMQp77NoTRhMZ8SXR43OXr7lmV6/QHydzrzDqMvbYaszhtRZ0er7ZwtLwaChhMT
qEn8oV4tMy0IHXL1rpKCWnqwgq8cducbGyL+wRAyepnqKnlF0WXZ6S7+uPZt338rwm55FPSZ3JUR
UqLXTQMowGC8TQV1CLC1kzUequyG6TqA1MblydPeEHvH3GVMx7DrUXYSGf5J4wJ0bcZudmP1EQmQ
sA2PtLVWB6cAcle6qtxLOy5eWuHVOIKRkwBQr2zFCGMCEmTDaaCfkS6hAn2vHcfsIQCTSECSn3Ts
OZMnfmJOTdiiGfD6fa4jZhnV99OR84W7gpw7rBtbGbYNcxusReHx+WdOGN0JKZZ71xn8DSZmQKt4
n/fEz3W9iXGA//h4qO+RcZxN2kvxuETj8mJhRD7k+uLEG9NG01Iz1eVLHpfOq0fU5QWsYP/Tx236
onE1w0zpDx4Gi1sqT5KRebJTd7NTNO8N8Z37svDExxiEsmLyQ0YERoppK84TG3J5Tz1KwDMlW020
hG6xsS+byFXOx7ikZJ5QVr1nx2miW2/Is00LXeEPMKSaoiRX/U5ji+ahguPwBtbX8OD6OjzMNU73
pKjyL21CFLOKfmFO/pacb1NdcsYJ7LT+cRKAAZcL4cld9PIT63GsNyCB8+elsfX9XEx3mpb4YTXF
CBprLcXIz4lhFquPL95dN4otrK1TKTdBnodnBKkepp6bPYRTEn0XMUzClRqm+RXKVd4BdbWrg6su
jaSpG7o/CP7A5U3gwkwymQP7ICjpAuz7BKthLqOHtojKDwUE9NshR4KZ06/zO4Chg4PVDYh2K/zp
WjpRJ2j6uESw0Nk27OYuRiriLg4nAdIiXANtOyMzeA5DnweB6rjYEnNBm7dKbEpBxwOxYI4VnCz7
OyArOQuWjJukViTE137nmIfIySFrVDRic5DszWMKlHmrFP4+m3j8yVV5+BDlnvce4t09ArsIf1uj
ebTrYrqmKHokAESn1z3Z/Kw4VCOewMEsDoAsN+qvAIAiMAhrdlAnZvdaZX53k7PfIkYIYJd8xRSc
KYGkBS1dLJSgKveW+1GZaDwgN3SPoZ3kTzFZ999Oao14XiJ9wuFnY6hLx2PiBeoaqnVxZH1TRGv8
N8i32RTcFuCJD0M1yWOWtlbLTTYgIeT2mIBENJ2ydn7SkH8dqVy74VZwIPWa6j5qUowj3aCOrEOK
DySq4MOi0nHfBKSSUfDc9kt0nd5NkCCfBpH4rAeBn/lN7LNgb+tPkpjjR1CnMKUjQIn+OrPgvTAG
g25WhM4I5nU5XjNR/oCnbCFPM20cegvXwNC41rxxpIHtHU7VdTpmLmeVyyc6U4dOoAThqWMhchXH
Q0YDLovJdWv7FK8lE10IK78OGtY8PF5WAGILgRlqGD8oNQ4JouKne4gpgfq57CH7WzalMXU1vpcN
vD11eRMmHmfBHlNuSwM5b/bWtPdlpYtgbSpisViJNWh5JCdcQT2uWzWo7GzMxBAds4SKUdQwAOJI
/aJbOTQr7Ggj4pbr0uwm5/HCAh3sZ6Xz5IV3dpas26SmlloH1fCblJY85WDM94GSwXMQY38XugXz
SpyJAqzM6S/uuHAhVA5/9QlXD3uEpjPpaWnIE59i8HevmC2QnSbZXiVGsQQmrF8dBzM2J8yJzsNk
+87RC+JsFxrbWgsfz9JCAvNuKQ0fSMBDd4UO3L3KoAFExUn51QaqD3KmKdlj+Dm2V798CMLGu9at
C9F2Vka9dk6La7EbXcYhGXmSniaM0DdJHCfnnJq11yoQ6oaBrfH2YVP2DepYkF8Hc++/B9Qe40RS
b7aX13tq+KYNXC4u58hbNuhd3hMOecRsVXD+DVzkQlyf5iK8d325rQmC7mOMY+9lxOnJ4dFJPA9Y
yIn25WAbd4ttr/BUTQcH1++RFUd/xfEHn3xHPD0MrV3C4oBKhDSFZ5CMw+8ZskCKnY5MXu7q7N2/
oHKxQbv+oQ1tn6V2j87dCHv4DqUJtj2lzS2D0dauE8oRXcP2vfYP48jl33eZPInOf+KMjRMRP6bQ
Q/3aenm7H2AGUPQzkE+n0VLal77AimdTHuWP8NztVw64NMCFw3JIRnpktuiOyYOzBMN07C0ZpOsK
ex8dYa7jvQWmm/+osY4nmAcTClTHHAGP109IseryZ8lqFDPokFzQZs2vGQMxXnGWLH2dvyeNGvkQ
A9DnM5AhvQ9TR3BQ7lnrziV3akCOaVPNlnWnquQptyN9FyVe+JTQgEjMyq3Y9XoIxiKtiHXQF2B9
12AJnlAh3UOaz7x6q6jdAYvx6PQb3KfRA/ebpjt2Ixf7jLwxbL6vSSWDAGdzvJoC4vK6jNllCjwJ
bCyjO+N39cZS4qyLRJwppw1XTWuP92FTJdcZ+9xdRvAyZlvMO5YNgEOMTzej3gxh5ez6gvOsmKAx
s9cds61lACcciizqbtqFYXHVcpx5kfiwSTCC/HM3Dis1dWoYEF/6qFX+hrN+9IJRCpGemMZDrUcn
xf/AlLgTTZmzL7Pwf66kw7IX3npwRk6N73BBYp6gW2l2eYhNy5EKxObNKKEoNVTztco1LkC8AOrF
qEre87ATHuZdO37nBrZ30AlKRmiLZDz3TPmolynCFCFbnqhdhUjHKv3o8IP/BGoo8DLDbYR7wbx5
VV4qGzGYlwEF5Jgx7UNddA7YK9fEZMtrt+SpOQtr0xsZYmHKnaZZL3bBb6mLqJrweqpRttp3pUOs
wrM+YD+YxzIK6R/smNk3NfbD20Xn/XsFV4KYJovkG8ARmEh81a3J9zHizHjYb32j8ndDJUu3jfHC
FremjHEp9A3u7o2MPTyxgRWCoRLDhNndLmP4DVMtPCZNLmV2Y07wGuqeg86gQ6igmeZSXRd9c5Hq
c8/KNnU5E4yh1uHVGIv2rU7ZPpHUcQRt40TJMwCbYr4vqnbud14KdtO0XlTta/Z18y60O03eU+Pl
3+QRF8dt53ocOfK8oqTOp8mdl14eYN/w5wfuGYgRbkH9C0WvzBo8/bFwD9jHi/I0gal75bEkHxRY
RHhVYYDvZu4ep5k2Rqap5XVcIm2B5YCtyOOXNXVLegGAVaNwxP0fET/+nwMA48YQwOD+tTxy+mjL
j+4j+/iP8sifX/WX78v/JaVDbjNQgQNy1Afi9pfvy6MY3JO2pCrVBir3N9+X8H95JIlsG4EG+5d2
sYT9JY4I8UtqB0sK/8XjD8r/t4xf/8n2paDoAZhDE+Hd6bv+BYz4N2lEGUm3WgdFhmHpwPHwVoXZ
j/BxnnfZxgq7e5Ton8br2n9cUJ/T/4y+q/+CB0xB8n/+m3HBORyqfBumBD+L8x//5iiWLoN3zhoY
pybeIW2vemQkklJyEBFN0Au3TIJfDsElsZaHydRTjp8yXoAHmPrHkwEOa5oRJnChKL9v1HxXJ2LY
ToU7ab5IEhHvtxWebP/Oyxtukh4D5s6VISysFt7QogZ9tKJO7SjMIgxTzjxCc5z1K3ocbseItKFy
3c+U0/GGUOMuDVxaq60YnlJTYtIqEMcje6ssMKtdPOGtmNoULVcozkPT4J5FZbGyg2JLMap1CT5P
KVZhP32KAp+/D9+G2U+uKu5nCZe/Tq8525mbrOajmIJFLGt8WJThJFnCF48z9l3ACMOnqyzvudMG
pKrpRUTBXNBey7JgL4/lauWoBHtu7RCpdbpLTUGeRi8J5JkHJYeJGrO43kRQJMTo9PczVX6bkD7e
t86OXKwPrWfRysaeFpud5d+Olul+wskJJgIZAVsTuqOCr64eEajmUQGRaQP7eYLcxx8drrFNWLvx
g6ka1KXSm0FW0K+YtivWLuMeNSE+Oa5NYAGaAAt5wlauJdUZQ453a6NBx1snm+VdY2V6rTxjXydm
wpVRT+XdFI3gzRcmEBSYBuc1aL3/xd6ZLMmNZFn2V1p63QhRKAAFsOiNzWY+z6RvIE53EvMMVQxf
3wdeWVmZJdIllfvapUhGBEmnmaq+++49F6sLS7rqWLt6ujZZMBwIrFXb1cB/yNJhuaom07ywRKSs
pG16K975+H5eJa+knRysgJh8PjaMqIEJ6/tYrr0NiZvjaCpmPdAeUrXl1u2bcNgYTNsnRRkFukQi
lteykMCCkHTigU5VcmjUvGCCv+OfG2m3HCv7t2f5ntjHTEx74w3hfaJGApvCWLG31TA9th48vbPu
DRCuoKozQNiGnfOmx0MKwNCHUFDHrP+8mdQefYuzinbKVNi6piGAdtn1pK1r/L/nqOx9EtG119xo
nQzvbSX5IOWt+EEaGGfe4Def/GTSxz6vwjs/9yomm7kAkpK6OvmBbZuxKNVpfJAkJxhJhG3uYezw
qywysYFC5eGwnQvffWcfykp3ydDwItSGaJOajL0VvXXzHmCdPJARmJ9kvTiPFfJQuxttOSxgb1oe
Y+u78xNMn2K+j8fmwUR2+E7/X/LGDFMEezfoajA+RQ5NLyQ9YAZMQb7W9rSnaGj6KOuhf2Hjy/NK
kuz9aNOMApIGdvbOxk9G2Qz8C0FSqbV/Wxh+npKhKV+BNkQPanL8H5VmyAWihwEGY6oDuwlnCUkp
2+TNXldkU2rVuvt+RqndxPAqGb8zlSOgORodNE2CgfbnrgA4qSafZt+EBqh9IoAd24nBB0g6wYZp
TuJ5RmoyxwQn4iN6TMvUEVPIujBU22ugn1MkByIwsnIcrbu5mcnS2XmQv2azFVJDK8hdYwH1608h
OtQz4PLliRENzQGGmT9zEkr/rCse+aifK0ioyYLs3iqL5F4OPlamDnmdYFhljw8pStorf6VwXRpV
skUOGrWPXNU9xcwtO7dxRyiAXvlQ2CCkloahD2Vjan84Pb5DDjMx/xyR/d85zPkbhTdC1V3v24C8
CJlYIBpNTNV6jLqC8SYop9WUO1LeMUz8Ti3QFjpWCOT8DkPmRVNxLJgIqYuitsXcjoMaXwvRYY1a
AJjgazMhJlGBWflnOvR4cWPsxcSObavCHTyL7Caj9/Pe8oLmJZgnEqh9ZPxgH5G1/jES0/1q44Uo
eZms2ZgUtDspPgkjG+5msniYmrs5PtsRvAYWR05+ywtUJPe1AOq1J8jgXGqj4uTYU0QXXmZLIyHP
IF6aGwyoKUG6NrM+xqijzZVlbNfvMU5HB+pMGqSN3ifC77Cd343NgsYZOZWFhWDIOvxQJMIgA9VW
mW/rEXgM6I6Zfo7Z6/lHbI8E7NSBkQJTVfKvBMslzHAhN/Qc3vBJ6t59Y9k3Vt75rzrryoshhHy1
4Pi3uOdUcVpL1To69fT8VgY2h14cpOOtO+QB9Zw5J/VCZSO5CDT7dgPV26cCUamnKZeUViOLEbMl
Z4HdU/vdn1mb5KFTTpNsU8CdeyPC8TYoRxsQEqlwB0beW8VEBhktqNNt5nPtxKqI842qlqtS0q5s
+bq/8vnq7R1+5x/LwN55TKKN9sW61uD59SuOvOLWjfD57TWREIInTurD3Ws8X5widjJsGDS1khQz
M0NqPCnzda3mwt4EyiRvMCfZ2pRBkWaEMaYAip/Nn22KkvmHszjqmeO3uUc9U8dYTPPPmvv5Wsl4
QrUrZPGz1BMrHZy7vsIvpdb2tsxHc5Xaph2zn3OS+MoS3fuoveGe5QJ+tSmS98LvYa/No7UNonR5
8fgifYZYbhl6QKcgaxVHSVazQXchlr7pgJx9LeRJ2ay3ve9tQzJ+jAq9kg/UNeunurb1WQuZF9ct
gbSfnk6SP0uO0WqLWZMgnw1Vgx8cPS0dXiVw9e55mdzVWxqzC5nhCH1wu6QPJGqSiWML5tYEPrNb
il09NNYgUEty/w7TYN1uCWq5E+meCpyN5XQuay/t7San6PkSkHXB88Q2RobRbW3qN3BAhAY75qok
s2taWfs5OfAwoD5ND5ZvrubEVQS1nGSkkc8r1LaM0MCo6gO+h8QMRSKau71uLKpjSxl8tnJwrqoE
WwUWJBrp2aXQ0oeZQF1r1/7Zqqh9ySfH/UX9TVjAWuZjtg9lD1zQpnE6gXThD38CZWVoQNo3eu+m
XvAoHIU1QhuHkSsAINPvkklnfDuJF+AaHB08LYEpNZg/zOZEjqBe1Ri2XPdtHFo+USXcJR5Cq1vc
JfB46gpBmxAhUK5LLnj7T5eDseCcLuIfaVfhALEQt+9UCtRuR8WVweFKy8EG6AxmlJyGwQviqPUr
SjsdbFKkYrblXSC2jZcP705r2EMUNHK+xxZO4q3Tzxn0NYdTIKQRftzYsKieqqAB/BYbWqK5qJbx
ZcxHLGYzbML+jJbusEGLI8bdPMMackPJpPMoKGUNDgUbPEbHpWgpLUPpOw9K+l94IUBKYCfFxFvs
urYJt85gqwNAxeQNP9EKblt4sXVRYm9ywGIbI+YOUNPEShT0OYL8YFufsx03P4W3ZUGJ7dulzzKj
WYsC1KA8uClcPtjSjOZLwy9Go9GdznBfxspLdiXQRFxX844S6uoUh95ECVwWuA9Zg51kxD95kH1X
7P0wcrlyTXQ/Rx4RTp+A7CFgWxcu0n7jk+j8GVN8hJ3B787C0A/vfd1111kyjeBys8J/XCigrvdi
CJMnCwP/DUoqPz++FK8TShM6tgMp+Rj02fwWuUH/3HfYPnbp4lF7pVXc29RONvoPYU796SbYzxF6
+6RErIqoQC+Zbv44QY/XdyFS9ew2mDk2NftiEsHOjL3TSrJtLPkUEhcZq2Rn6xmDqUXwv1na8mlc
OFRop48aGivLGdZDVMXAIqJhmORJu87ENiqf5ovLB5FHLx3NzAHctCJPWDN4LlFFrrGqLW5LXvO0
5yICirPH2gIDmEqfmrzF1j7joV98GDNg+lbLRQs0fZRs9+owc5CaWvTlTVEp2HhFZLjv5xTPrJ+o
8LlGOXSgh8+8BLkoqeqKadFzd7XdFmg9kDrQ4dn99TscQPxofbd+sYeyPFDGkFMWkjfialqmxLAs
WAWkGHH7DcE27GEj6uR37sdwRFo/4lVU4cErWWcI8tkxQYJXoZ3ieexF8IWJuT4hhE1Y+FK+oxWT
cc1eoMs+MjgS4sAY692Ncz7bG8eqinADDMi+CmPD8zCk1BfCZBUEzs6Mkcvh4JJn5xqu24cOjrLZ
DrjVgKJAASYUYTHm9G4n7qXP+uuqCLrBHObOFc9+hao4WsVvFmSTT6FWkJBItf1IbUxp0bfsqdi+
qA7bas3uYyS+Q5bpgnlSXNj68IGL+Oafh8zr7nsikWyhcsI8+BYZ88zUsBzGr3HGmAbT0KqzL+X3
LKgcP7WvmJK9BziAbG0WsRnb+lxih7qdkhwOIRaDgeFrX9NaV/UutZE1QAJpxxI/sbrr+QLcpVTI
ADkami1xGMHcwPOjq02fQIgfcipFFgaLBZofVGy9gVYkADd36bFq7eqB7Wd5X84dwHKbVyMy4txF
/DKzW1zXlZ3uLZL6ayaEx8WEYcwJvf5APPkEidfeZrwv4z4f7yvViVdRlRIpka0YJKf+Df89BKZU
qkeDr2TPymc+eNV05yfWNLLF0Qrw5BSegZag846gAg0nFC4p9gfplW3nyN1dGix70RXVLWiz8LIY
kFc0pIVg8zi8fwc9lk6waH9Af+b3sSFtM5gq/FlbJrj4IBN+yJY8QsAFuvX5AemuqPlHXA0iokkj
GF38F3PrflGO7xOFboAhmKRvnstuEERmIkzTYzjbz6uP4KqgPW5jQqs5+SoxL+RV8/dIiwWPhZit
P0b7Vf9O7qpctcKUduAqCgRxkwwyJSepnKhxhsR7TlEIvyyM2Nf4v3lZGjrjbMx7Nu2XNrbE8VAY
XpN5FoQPtEQF2cEOWn3Q3ogEn6xWY1jLmOcYM3kp7PL1zoQVmHrgoAIOqoCOw3zHG6m/NN/HzsBv
7eegWImvOP1I7ChL5UNhhFy8k1cyJtDt4gDnlHWP56zxNbwZp7LV+wCj7XfjpTLauTLM513QB+E5
NOEUnmCH9/EWJiSP6NEp1O8gJsqeouRc9eOa7qC8GdSMSHiYajuD3FW6VA+4cZtCrnTr06Ad59Ed
BNuLOBAciVEAHgf9OIaj3/TkNNLSnz2MFRHDeVZUhppGI8W17howLAPtvZshSNBna2saPskwB8Px
f/TRagCX+jw3v//v//74KtNql/ZDl34O/6x00lXyX+qjv7uP4j+Jo9//yt/EUf8vMEZUrxBkJf7q
2+iPfxdHOY/xbCmbWKr7j84xW/7lC6aX0KW6yVfAJP4ujgZ/kV1d83q25L/l04bzr4ijUv3nVCzu
NEXwVkiUWLQ+jGj/JI+Gml15ntv53qEMWkXkP2g2V0W6Zcetr6sM/QpylrxS8IFPkC6Hc112OdjO
MmxuYCAMb+7IS5Jm4yT7oRouBj7oVX0uIlsRLw9ygq5UOlaHGLDFnUgGFZyNUmN6jYe5/nQXT1+R
fAu7ixYKeUHXqTbYFMAHYzdKVL4fOAmBu6ZNBkyICY6EehF/VY3nlSBEAkVNppN1cPSKdUE5m2mi
xB117QWvQUbHBcPCtUeU6Grp205fcASot3YZJWsSGTz3iTXe1ctAzsusEh+dG/HFULa2okKSHpts
ocOLJC13S71FNRFiBMK7gbjimovkBSn2wJc666LmRD6JiiHqkOdhWoDlZV9Gg/vqFR097O87l3xL
dJf4vV5g3S6srOvSVXhP27EY79hK+T1Nje7Q8xR1O5J+xJb8DRPJhIOKZwT8cthkf9qRjT9b7rTf
i3Turus5Ex79GQT3tspZJ2x3zGaeXrJ0yEdi4j/w2iqGbZUOK/YjtJg41djkn7lVL815tnVR72ZC
P2Lrxir4IXhz3uVWhGOq8t1nRglzmqNovmWUD+/laFj0pmHWTfu+F/WLdBzceXi2pojcTpdfwKIC
S3JNN73C2fAfUOnUJ8eak+610l65YSTlRxPAz2Ucz1SxZ8Uq31qd6jceBq45jIULXD/A16jZyPnt
FQah6gleCTy+LCCpu2l4oY9ndxqSeRuVMYPb98HpfR+iej1Ps/Vk9dYzltAMx61ZT15uFg5hMN1o
xznm4ttsPaXD9byOta1+u9+HeLR4vJDQaDjc+2gJz65ZXfHt9/Gv15vAXe+E9vt6KJVwqHtZQnBu
6vsKGb+vk/n7apm/rxn9feXo9fZpvy8iBrn+0gfLlKNNrVcVIRauLYjW+o/6vsy4kaoIYtR6yUGT
GcmBrXdf9H0NCqeKHsr1blzd++MByY3v4Ph9fbLj4CqFkdJdt4XKv/T3VYuIhdkq8nS3Q0FEE9mA
f8FBzje6fArDlEYApo98NZ2XklGH52H22rCcpRZo2le6G324qSpsrgS5XT6O+MJmf8xOohfZayVH
GOnVvOx96tOv47AvGJm5+NtJRu02zUcfXyh0TfvB7tL6tRudHRxj52R7ZgRi4gxNht+irJ7iJNsP
RT+bYxahWZzLboX05Zl3IzQEKK65Soz8Ak7ibgTYpOaXA/jvWhobPhMbhlJfLBnl8ysAgNZiWCeW
Fq/hAJUfjIZ9xthnMvTHMsvTX5HVJo+jrtSvnIBns+NhDo+cLvNquUtz8ppbm6+MPoReo8SOV+vE
2BeGgxOcVbjoBagVr8oby7Ky12EeoFe1zuDxQpmYFbKNl0jtn1jucsxvoj5BjY9zHKYBIb+Pemqu
qn4lda9tr2gWQNfhzDSedrGZefxpN//HI7cvdKPbfV5OzX0vzXC0myY//M/l/t+53F2bOrn/6nK/
+cAc/tFj+finG/5v/97fnOHirxChVvDhx8vN6vs/1p/yL+5WVp8UarF95G76D2+4/Esw6PDcd6QT
suPjX/r39af3Fy8Cj3vZkVI5dvAvecNt4a17xn8EXyg3cF3kGOBYbDUwov/zFS/1DEVXWtN+Hhpp
TrCf091kgFNRKE6pZj6AERpKP3R2U2iWlem9zpT293hpkdYGw5cFSK4gwH6UM2zXW75I6z9R9XTC
tMpe9QTn7E+w+jfd96BbfA+9WFeK5sHr0vTNgswWP1FeMdYPrQTZs4OQNCARuxUnW1cpYlRuMXbU
RCdNGIApUnARlUFiwQkrGdb/TS+a2dMA0vWq+L4aYvsPThp3n01KotDnOjy3qxwg88SStxrjcbmj
UNv1UMjtNr8biVtci2+NwVvlBruCoTAMbK53nYfh+jb6VijoBhD5I8LcD8KuM7FCSyBvtL5EgB0j
NePCSjiJKGhyM4JMjt1vq2/NRCJ9dzsGToJpbZwhlwRWqQ7dt+QyS9ogtqPJ0uyudwRbM1ZJL6rt
nWuA4XN8WPrAFCfqisb80k2NBhUZ43QBrOzi15gxtUCiWkUkOdg5c4Fw9ZrsS3bDqjuNqwLlF1QI
2l2QPJC7gnqNiOV1w+ovpWxe7/KwhMUcjv2wqbUKoOAW6Rv/NdbDJu7uI88K6jN5PiS15VteQ6hw
H2n2WeIb3CwIcKrQbrhht4gwx2lPDnysFaodhd3ecuMOPg+h2Eep3QoKfKxTx376DbjSqI+6iQmR
s1GYw633LScGo/Tuq2myoQZTR11dB2JgN2hCitvwvzf2iZUiQmXPXjg8C15PzRWKIwojjz5tyMaO
1UnC816zpvT17ONF8r+Hb3W0J2wQHeY8N8VZABCe8QeH1J8kfqPgM8TNxNMvsYpTtqqwNLm0L1Rm
o4THXfdV95E9XfjUsaAX38qu6XhCgUatw00C2O8cFz2utBbLMGYxC8mVpVCkLlkmgA+Etp5O0OTo
R0+muGcpErLz3ZK1qC+EQwlTp02XQyZI2T6k/r3PyuKl7/VUbYcIGjsvkeQSjCNb8t4um7egyuxH
tKT+nXIdhUUyx68qB1ij/NLyKeoMbz7I4YN8TrsYmd8GddButWjmp7Rylq8yKZcbvHPdSDSkTuy7
DgoXK4Q6l+NeAhkxMJni8ibMQhB/k0tR905kpvw5WEt7F2Y+KI0Od3azi0SYw9bwHPe5nZOGO1iW
EOgC4OkDdtrKu6a7MvF2TTynPvx/QnpX2uFM2PRx6dLlSnZsNyb1DLE5K9P3IYT9sfdnl0+7HYNm
YOwn1FqTwYUQKaJXaymi4+JDBS+nuvoqGguGeZekhzhyp7fQIFW2fRb4R7vtyp9zEfO9gWI33LEq
JrDglsB8RGGee+qtEnbeBWcBdR/4gV3nngUico4bOtlJG3LbVWoXgO7hwpWnVrTui13m/VU/j2s/
iUzC/TIMpMuwZ9E+4DsIt8eQMMUB8T35NcE9I6QK39FALrA1H4+ifU55HZ4Z/13yl0VFVJoVuYMB
21fFF6U+3cXBAefggwCNiNWh+iQsacKDKZwpPgLSD9gvICGiaI1mT4JzvE3a2jpHrmTTYIgVj0/N
SCXUNkFhg96FNtCzGC1bVDpgkRejmkIfp9mhtLVfaDjeQUBQbE0jPqtbT1BDYQAf3yEp1MDkUOrt
OPKrlyDrLV48E1+UDaUYhA2s2vN2Ptdg8FlamPQKDv2j1418PJO3JbXEr0EX9j6QdcayIu8OoU6o
outZYnCE0wtTs3pdJ4y0PWF8YDuG6z3k2MdbeOGdFlbPkIKYYQhGLHvjEmsuycw/x3O+boDl6BvK
S+103Bc44x6EjnwXw4tE+wh8z7Wu3EVmHwoXoznFqdD5jetEyzaAK0ShFVU0+0amQm0W3el7Ggzj
Z3TGqtiZeLLx5TspFQG21/JJDD3I6nRRh+NLyBC3cF7ZabTp+cmn7I5d9VBMrSW3uAtAraS48psd
2T5+I9JLmse0lURtOBtY9aFqQZ1IGGEhABJVI3XAenVfcZqRzfDT6Yp0rzjxYV4sdt3YgqapbtKt
4X3QnyTFAdFhaL3wVEHV/1JT2L7xFq8fLDMAWJvadPnM6WyjEcf3JLumTAf1jl+C8LHR2QINyM1z
gi8FHoAUBA5ICbVIF+7n+kOopKa7IS+z+z5fZh4IneN8gCNfN41V1TzP7AJuatGM7g6/cU4wJmfx
BMaTjYzx4/J2wudK2iIxr+OMKpnPPMwPwsLMlJWCqGoc4P24ycNlfjbwJLrdmCHg8whmKXOaQDH8
9kd3PoGbsm8jkKO4GC1KkgG75VhMqjFeamZ8SuDsdEqiO+jS03xyYbuG9zPLUWpGRj+5Yb8X/lTe
7D1kkFFbJ8MpTXT6ES8r8mm2DMkuQsE9Ohxyuyg21ilL0fZZjv3KmsJs04YzU4o+d969jkUrC40l
eBtwPP9hDRzhl5nAXFmLnWxxJ+VnMWGb54xZxc04e5phF26LUWfxjhbNbGugvz9abeVf7NYX8mgc
pq0yVskafkOmt+MVwxfNCbsjjB4bl3EUB67HUtKPFgAgS9RtyParR5cIXv6e2EN8rUw+blVN+d3E
UIwpiGKfTdKMGLbg/pYUyNQjYgVOlOOQxOOVhb/V3Qo1wtz16avYA/D0b01rdZ9sN+Ivd1TJz6Sf
ny2bixUYFNilrW/AladT4+IrUII8rU+Wl82us4reziIhgVWD+tVaSSOOdlVI62Ky7Gy7aJNoIcGD
K5noPZy5zwVb9XcqCHtQsFlr/lBXXo28DXJZ3qkhwbqQZKPFTk4uOeaiANqzsMfaRgnPp1+xjMMv
qBqpea2xPKRHVdv1V0tku3vAsUw/uMyQzy5uycR2TbqdH2Mch3om5B41X04MmprnjUzMOWLZSayc
5xybSLsuw0tVOeapFQEicJpb7KjCHmM2LY/lAkihfTSAV+uL1+HS3TjhOD8wvrHpBz1/w4o0PaXe
3AvoMh2cx4QrayiGkpWDm0z1FqWcrwkP8eE+XbrkXCJyXKrMSk9RODp3wnWBk5TDWO9ZcGu2wk2x
D0URc5fzBvnqWIi9eJWf7FEZ5M6vWW9w8AavFhCfmc2YCIZzUBWq+gA/HzZHDtrwmayI+6XJhACz
o+DyThMFfNUTW+qM/b19cfK5IHQIdXlbtLH9RvzQfgWEat32g0cbRmFi9l1EvcqjVyq32AsJvW2a
m6bdOnnjfnJBFjuurCDf4ihz3oao/5BdGyXbyRQYcmOZN3/YxLVvdurR12OHCX53L0I12ALfqF7b
WMfPY52zRaC4nnox3otPY1tMVLSSRJE/iFy227BdivFzcGmfci0imHaU7qkPmD8AzKqtnpOnLJdA
WaXDyQ8hAdJIi+FTncRim+U6x0AwHwAc6Ow2rWGYAmawKDGyXJxVJ4nnB0KVg5LOmeebZCvsKogP
aaubQ++3znSlkc2fe0qevG0qYwmMLrdTEpFc5cmcN4/d3Mc0DTULFGQWtBTGcs3vqkVrMHSpuw17
B3mk6J2DtHgVpIX721WKTVCzbtWSLsi8c59hLXgr4UqxapZNlGxoR+VFuDjCvmmcVt+748SqNGs2
EyGwfasSyFVlSC8Nob6t6aml0CPlkbrHO7FNCh8YqpN4HtnJcHgcrWg5xlKmPxp+thDS1w4TMod5
TX1QaJEuLUGx7oVK0KxQtayfKLLaugDKx2mondJ/GR2D1kHngI1vvDPYs4rAp1SIi/Y2dtfhrPZ7
0KF9SGtaOk9RcahRA/kr9JafhI/Gd8nvQu2yMYG8FfDzbnYueZSj63TTe0tSjboN+Gh3YFzEMw9c
TthsMTzWdZdcIqeefpdROx8UJTtnepeX9IR10b1haAiiS5s18ldWN86OED5Fyjwy2K0kS4h2vKL5
3ye5mlxl5YInY1sDPatlZxLyNzZghXTybM+X2YZnv+TmF19fdd3nBaauxBbc7ui68SlKkqLZmaQ4
jIKQJDAAr7yTgsfQPmpFal/6MInUgYlY0D8AMIOpivFGbRlyl2Po5vLdG7jAtsugmV/ZdLmruwox
jkEpVPNLF/WwTglyhdmBwuTky7SdR3+etn+WU4UUl3jdKW845hfJghIGjeKsyYd6T8Ym35UerXIb
WTKmb2f8H3QUStW/uxZFarFvvCPkueSVjSF0pXhu1hRTVqiHpRvq/tLWkr1XH0aKZWhcqe++sWyj
x5j1ppEx7xovYTkZNEGYbOMhDb9S0udPDpWOSRiCivUyhSEDxgEf3cU/sLsVR5gMwQUM7MjmmQhU
M6WAb0wrdk2nVLfnbi7IHRMafOwi8EROp+m+Squ0/6SrSQ2HUIZDB8WsApxuJ8NXMyzmDrNxjWVF
CnQ1r4a1vJHTLD7cYRQ7INT2H3bLyyN+aYo4aMu+xuipsFjExEKSaLwB/3EV+yH+gwLS9LxtS4Lj
rvrsNQ+eXAGWS2WFUTdhSpKtOPZZwYvXKOdtWZIvPm64i0pEWa3Sr8KkgBcjp6T7IuDnnfFCxgZ9
64JOvJRez2/I1M19wDV8SIcufudNQf8bh596cvMPsdLasC57PPQrSj6p6t2T2fDOeSWaJ5qxxLEL
MFlwcILg6p2jnVb+l8aFeYpE556dJj8tVYDHR+k8A8vVVIeMANBTR1aSCtZA/Ao7t7piKTh+sBRk
SRnleBTCYRbTqQCsHO85JMfPBQGeoozcbjEUegH4a5q/Nq3kz741xFo/vFwF835RrXc9a6c70URh
73O2wsdsJeo3mKv4mDT5/Rg48y3ZUK/beKBnrkf84CEb12H5PWc9QnLOC3LruWXwPHtKwYpssq2i
E5eZGLwI6wexk7zkfxcWCMYO3XW9TH60IY5vwh6evukVh+igsjrbNqw1omNZh/EJv+yxLQKYvkMy
kSMDibnJVTO88NxtESgoPNlO3zMHppxdS+b7T0DpB5aRennEWrL8pA1QPVY1vnrwKLStttKFkV8J
KiRTj+MS5ebo1cV5lHFzTApb3enctfkDTQE8dq+ueOxYpXtwgIpuY3/wrk3BfKp9t/0xduLKt2fc
VMLzvccidIcTwZnpoRC4MiaC38Q8q/xHWzjiRyTKZgdbs7tlT23v0c8l1S34RIp+JKbj2lteNN49
rdlq7/lpemkIv7YE607O5N/izBjhxPju1exJm4dUuOAlAExUYYpnRjas2IAS7g2XMT3Eguedistr
Dqpsz1cmeKssaKfY21s4Lw6JOMwUzxigQwMZ1UzPSlGqPvY1q5M21N5dEPsBDsJMzTdjQcCWE5dQ
tVMVh3mI2wuVNI28muysGfaoafi2kv6nlQXi2VMtJZPQ4/qXxYS89uLcIbWXiaNf5oK/1YXAFWig
bVfFw97vcfNfAKPxDBmTcWc8jzoHd8n9X1MF/5P123aqbfSCYSl/m9mPjpwP9SMrvZHnUGTdFk6L
zzoa34aMi1XbZUUaAJz50ZuAHGXF9Ah3wr9tvIjc68A4QC0OMe2V6uClV1jeq7MvuuC3GJx7K+LZ
3bPJ4UEWzffKndV+QtDf2n1hgY+izA2H3TGZsuGsJtCw5AoX9apk6f2kEG4rerIIJtbpld8OxDaZ
NzCS8LDFY+nNv5a0cF4wTIs/Y6cBYC2hd6+X9Jgpbxng8LDbuUkMu0n+W0TRluKzpaii31tOP514
es9kT7PyPu89ecJU2e47UVKHKfK1Kmsm4xIMwJVmeHy8pBYvljyHfazCeQbkAnvoqB+EU2Lk8liT
JsX/ZKp+/3fWCij9Dnv2/3+m6pSWH5/JR/G/7ruPr9998k+Gg3/7l//mHgj/EisA28cIjtyFMfvv
7gHvL+JU2LiAFLuMOuv/8+9IbecvrhOgI74iycoOAcH/b7sFR/yFf0cFoaNsDwDNv+ge+ObK/ONq
Qaw5LVYOcHEkCpLLFuMfw1XSLxYgY0NwrKIIe4Xf0wXUhxY8VmtuP93BoZxIJOHr2HrBUYF825Ru
NOzYG0ZnqVr5JWh3h+aCuRRB846BvTy65ZC9F13uH/gmNZJeo7z9JF7aMHK3PYP2HN9a9As98j6x
DrVmn4o8gPkY5yYdnEnvPzaWh0yEQcj9jAp27OR0VHIwVnmYQ33DtFRcAQ2yQU+q4dwu8Vkpigqo
SxCHtAnvhEaiaigT/6HiNvzKLaV5vidzdIRBqw/4gaiUKzhIvtZ077tm0LksfUb5lpqGI4UICfi3
cD7OUoAHmVrqkmRxQ/VWcEcuY9zPMqvZ1wsbj4BeizZdceJptNyP9J7vw2zCllo6aj5GRUVD54Lp
58Usdf0bq626GYTl0PCun4E1hm9UpwT3jk8lI+KTSfmp1pGzCaBlkfQaOnyQnMPkfOeS8E2Av3BL
GDb/0etZXBz2QpcqlxDDSqR52rWv04QGA7DL/VPRNMkZMrm/ZaQAdMjiMv2V+JP1BkskuGrT3r2O
Qez8aiaDSDCRs/tjeKfelHNgftSZLG/4C+fPSZ3qhjA7xkjh3o4eQv8OFny9nUl97kmK/5ncvNqp
lQi2KQyAhjZvilV0+KSIrsTSSev0IXUkaVdfufygLJwApcwOxRKFrP21+GGAMWxaVbSn0IM11+jc
vqG7tT+h+BHPoYvmGMQkIeAbextjPMOgPDoZRWjRa9BRyIbAVz67Aj4Hw3/P9ilxfjL/UrIkKRI1
rl/epSu5aMtuBe+EQfrp5Fju/Kjfjzk4Q+Br3Z4++d+SHwmJIewpt7ZtsrOGn8ZfurjmjVdej/US
fnmNG79MRAA1brHydZ5kgSslUlSeVy3BOES+68BYmjeSkA9965DsZnZDg6vdrty4lC999W7//8g7
j+XKkXNbv4riztEBZCJhBneyvSO5aYvFCaJYBt4lPJ7+fmC3dLtLrVboRJzJOUOpuorcBmn+tda3
7nxbEzXpwmrXVYm4neWU7xLIQ7ccsBb1SPCtJRmSPbOni3ozsmHujJz3zE+Q7Azcmm8zjTZnuMUV
szJogjOJ/N00LIbMMflW2w1DeYjW1eS6L2kFyCTNFWodhWFKT8lmUClVJwCuny0IMbcRr65dK6PH
qMghH9NrlIS3LZmTq5ypi2gjKbFiWjPVlwUHpX0j0f5IVNMiMiX4EnNVfAV32PjU6xj1wVALAnsE
QsAl9jp35dcGVQbmEo5+E9+k2Ro7XQ7g0mR18GocG77pPEW1sQmtQhyrglzTWkSOsfndWv0nyU65
rGo/rXqMSFinLRKsLMI/RUoDF4g7ilKwR22BYE/5Dn7VqoIwy9exqC5jVi6tWWIrm+I1G/Elbcua
Ux7wSwzjIebJM9eb4QfRB8YHUZGdfepDcq6rRnopQ1m8lnWmGUoMsdw6OB3ybdtqiqwx9qUP/sfz
nH482wBypX0seC6cI6AKeRrU1E2ojJKC3Y6099tfv3TXXvxgv3/tlhQkeiGaqUW0Rtr+44o/Ga1N
0UbI+E+Fj9Rc0QOdykdagt9gWiUrqwSOr9ywBnuBZQkkrxx2HsZfvg26KtwVyUBtwTvnCLbCjzvu
AVkPG40N5zttruFTlMMSdOvhYJOFreUMHp6Ix5vXQL+GSEjZSnMSoHeoE4q/1jUjN75b+XWkcPJo
mX5NoXLWnXyriU6iznO40inHolSn8liA1UOYTM12y/so1sHAVap3+niv/DG/MnHz30ovLd6wjGBB
crLiXeSyu4VJUN9muLh30bBUObaD+1oaOjg6Oc0RUx73D/xPd6fnLn5FaIhOWIthcvgtyBfogvuB
Irp9ie5zEd4wHUMydtRG221Ap6IIH+n2SXC9Ay7lVBkNa5D90S61fWuPm44xA5vsNpNpB12DNXKr
m0C/tEJZ8JH86oVELSGrrLB/gOQMN4jq6cKaRiuuVHKuFJeddUcx74vRKnFHgMHgKj8IJAeKklbc
HMvvVEmPL45RwnVwy+IagZ+9UmMFHX0Bt0rLji7MPfRB0HQFhx6FNfKYTWoowF5Dw4tLevFeDMNw
Py6tPP2wkEu4OEEcsfuCT6TDuTfV+rETGSg6MXNgLi3xblcywH9vl/46yJ4pghjI081qIOHfzPlb
jvBwM0vRXphcRPS+N+O5CD3nknvQbjxMiheXUSyGHtALsPITosEhXVVrU/fVxaV+564xhurecQe3
3qOIT1h8nWyjbFlstaYWCbtDeiWuVd5wdl/q7YqeQb2sTqPj+vfRsopQZ8dxxT0a1DZp2hInET0u
YgqWvXxvhNPN2FChgwAJF49tApE3vXJf8LYhzKYdknp9QNyI7vPZMH54ywrXL2tdpmkFGzRKdI+b
sGgytScOzcLYfSySrBT2pltWTr2soTSRss5Q+TazEEREY8Sy3k7Lyjsua7AW9ngqmJ6jfYp6esVw
TsJkmFjRLdBqvVuX50WSfFMDoz0uPy6xRC12mD7YGJJlj3CX3cLKLEYp6bKH1GEaGwdXzEW8bj+2
INOvIkptjamlrxxl42kyS3VHDbgNuHzZ12IdSRqtSytVeyIN+kS9CKPVZZ/sSD5uko8dtKhC732o
EsVWwXcaRLCIqzPdDkRmqjaHlc2Vax9wr6GW5GNLn03gqCFpICJaKu53Vl672C8aPiLs55wapuUA
YXCSmJcjBU00HC5SZ0jWReeqTbScO0yOj4EfMSDIl3R1kOHDD4xuPNOvwh3cN8ZjQMAcoi31thVH
n03v5ckx6TpBlZ4X2QA3fMpwx5KpgZ+l6Y1iZnKUbdneJGEuPkWlY9+2DRmtYrKAyuomovAg0v73
eq7EdcwGhfDS9dcYO8Oz0SUAq8j7NhRpdO6xhSIGjEAb44ZOj/jOsXzUnJgJ6a1jyO6gDeBznOlg
zWOfx8HI2V6RVqiiUxVUOYUaPZa2anD1+6j7V9NBkfQ9g4bNVJpqRw2DtffGPnpyQ154wq3hqI2K
bG6UOP0S1iemVTWKECNq4lXN6CFkGu3HPCmd6+h7DMRdti4rj8unitrCGGCvzo7SiJOWkFNUFKuo
9xI23gopzB8J+Ts47rdOP/gHDpbmO3H/7itl8eSNqSADnDrxoO2g/yhz5TCLo8XO4m0kIaT2acI7
vs5o1Di5TpWeB+0ZJ7/uKXRMxvEES8dBIYg1qGFCDfdxaJhQm73rHLbjk8x0zoDAILpRBBBfZ6sZ
edM85z6aRPqWSCLmwI4UmR+dt++h6sO3qqOBzwTwuvXLNNjzn7ybKK9bfiO1bfPCOYvK58sP8ilj
KzfjewNtf1XIDGt+qTgFIs049jXmZQRpUqwV0XePJDL8yvm7KQxjXLXwvhGgYqD5lZngAYzbequk
MF/LJrVP/dR0N0rSYhuSat0O9BTyl9356ApmE6uh8Oqtx4F9q7kDrDLfOfmm/SMf/PdpLOWeDQxn
g0+jwNHVyuNpxxC0KhIw2hH3+z0rDwfrIDVfkjFGzC3zF2R28WrXVnfou6z6NCiVfIJ2pb+nPO8b
nya8Q9/OEIHNF+lk2JSpZnSOyi5vBO2x9EkgEX2gC8bR2SKFoPwFGXrfluERjgZKeh3zrCu7OqKG
se8GqTr5MpMHzNbJ1tJq+hwbfE/BYDA3GgyqGyMn+Cp0bO9xISfD2i2XY/1Mx8aKEjHAyBEyF2hv
Ruw1RHRrEpdY5/EZy0g4nbvCKB8coxdPEfcX+Jvl2H4n9c5xUaaNdynqgtUGKHnyWFRw41bzANg/
ydN8B/e82utSIicgLfc8iYoKDEzpDv9qH3+BxWTDQag0AKEi5/lpeO2QAY5DRzsU+fN27fFCycMl
Rra4NOq71IEdVGD52g4Yt/ZVMI9cnKRcAX6YjiPN7/uYpBgjQSoG8o+2gWCmeIAWEsJBlSx30urc
t4gaor3oYyxWnpF2ZOknnlo9mQ7X0CghWlc2xySDmB50N7Nr/ljmF1uqGK0vbW+4d34dsD1WTwRj
0SBokmgeRKinfD/E8fwtIT+MeOS95G3Bobpjb58FvQwD6aK9hzdkNUVy3JtLf0M8ZuZLG441kM+l
36HWvWZJ6ttNaIvqvnIDiiDYSvh+Z0s/BOOJ+cmpuooWeZPQsuWqC6E+JnIlr/mKF0aQcQf1YASh
cyPtUNyja1FBAYqFOgo4vMajYqu+SqsYmPS/B83SvUrPDsk3ggF3hjPZBx2nHIuM4ib3yI6aNfXp
DbXDK+wSeyghNasI5hFF2hfV5NsEHC3ZLeXAw8rA5LsefGqAkfgv7dLOwYHw3Ir+VpkdkOk35sUT
XSnCpn6jLkTyI1HhbbpUfXi6Mu9dFdSf+X6xeTmUgwxLTQhkzOrV/OgOibEqKSrlqRTxeaI/z6oZ
nuFjy89UU6pPToIvpDUb+4jPJgEJTlcJ/ETC1vj94aVmuJGWTpMkCY+tTnBBuhiqurGL7uOkch6m
pRsFt8mMtE0nFNgpkmCJg3W4SFV2wN+hZvZTd3ztWPJQIEvkvNIU0QHuXH7M8IJsGWrDIzCQ8cRS
36JIA+wXAgZFgWVyQJ7gIhtxkp0yKn37mDoHzpDgsO2PrhgtzeCqMjrYSXdTD441cIs8Gz3rpYam
ZwiND4lqGs/W/oFGzQiobUx6kdgVYCmVA4db2m36qk1ekdrJircjXVRFnD+EBYsotcLGvAM2MqIZ
R/WeHNxzZkzVKbWbbp8GFQeyNELSdRPu/BT8Pvm6aLZzV5Wn5KOXp8HtRWFD6dLWw8Sa0DYWD6oj
CpMFe9ZDDzeVJ4tfpVy3ft71q77NyR0HhXyZ0Kbo9prdr7D+5CFKWSGQf+BktM7EoxLnh0Kgx7QF
DE4oIAkiZslqNgz1QJO42kxdGpyFFQQ3hQU42Y/eFYMZ2riOIa0XVhScdR7AdCQFvsWT99rmnr0G
P2puMzVPJyZ8IEe0/8C9fE1EfOC9zZlRE8DPyd2Idp0PvYs5htF0PKqIaxJluSvtpdk58pTLWxBY
NLKV1re56wkuiqb4gSo2kvzw4iPiDeZ4I7BAjAdtiSciSb+JrEw/FzHRExz3MCBto6cJhYP2lbtK
eyaB3uGldJgsKaeRL4lhkysN4+pz7sh8LaoMOtGSB1ZulRyqwfQOpoyzPUGQ+lLIojk0QGEB3azN
MXGzlbD9eTe7ibXnCZPPLde1a2vg0it6V2/jnNlH5JuYGUO6qZP0XAp1GpvD5PF+dmQbm7pbJ9A0
H0TR+/tkcJMXB7MHHmBaRty48ajzNdQxGJIrJNmh+zeAJ/FnV2Flf/CrTF+Y/k+FgkNSiCCwpbc3
GLBvlU28RIe9E69qRc01VEzuvzIbw6fQKRCEdOoP5SaKKuM+G9LpnRLRSuNlUxHCaAJUhTIb+ysz
HUkEy1/UKCuabWNVfEw4CUch1HkjA8KpdEjcqtKuVg03RGP9ccf/X1xsaZmWEK5kTPOvR/I330MG
8l+mL3+Yxf/jL/46jvfJ5SlSGIurX8B8///jeM//BXiJ43Aw99zf/uTvGHjnF9Php/s++phc0nz/
GMdDiCd4xxAJPpliF/Dd/yjMJwG3/X4442GbsaEMAmLzbP6xnysuO1pzPQV76KBRg0Niu6nD4ilx
qmPJiaNvI0/GqXXGsToq6XSPtjV5HNIH9oFd6AfyuQY5eMTi5YAJhBw5rvLYwPathnas97kRyWe/
ceVNMAzmXW4Yqr1KOhPk2uWOAGTIthMCUyVDlL05eXV1MakAPgL+4USswijcekEbPjUcmKmiMUik
dZ1lPGGXrs9e53avFUMfDq2ev7XMjH6QAuIFMJBNT1XHNJU9TtSK4EEKj+ArB/CK7ZH0T73mxYYX
M2mAWGkAEhdFchk4jR3B8OkyD/WQdma30/ldLWJxQPimT07N8jDFE84gu/bXhQE7kwaxybkfIuk/
EbL29gPR65vKY2iRgL7ADCZNOtdyJutQmpfR4pqRiKhe+tKj1DIox4qwY1M+WESjF4k7nvJtKTxp
XgQ9gOGJ0pn+vu7BWa7DorTDS00ij8uu1/ccKIcFLOMX9RhuGisAjRUaknIgBHfS+aE1cUfLCF1b
97MFGe5OMwop7tGiDGbkJkDwA8VsTKWiyrNmQCso56eA+xfGW6JU/bbrEBV3ElvLaw/BUt17OQj1
nTWTW11lkSDvLDp86mDRm56gGSDtvdua0TezpKKcDFru7wvdWS8qGHzNvTUMCUs3P7ABnTtjqK8C
g8IFbCShf2kaBwOaxqvraIDCHBSGERMkgj6T83bM/Ruph00+Ec6z4tTcsW7nONiDZGTxNId9YxfN
N5n37oGu+yjex7SjWpusxIeO1u89KTcJAGC4YHK4frbeYwY4+jLAqVnbIOSXoG/2CEen3nQSayAn
vmifhrI8EcPMN0bjY4eIvRMKts8s0JqfAqzfu74u1clxEsSexOD6aJl3GFjXadk0i8mTTKzlNHdY
2oMdhBIoKNSI2di6NTyZsoxcyp1z/v89Htbsgvzmbfi39GbKs/yiUWhArCR2/MS3tTuXTJcTZmHl
NKwmP06OUwinDVx8R/WexQ2P7qlj2A/pne8FPX13CfWH1CITNqHtZuL+PIwA+WZjYHqqo2KV5+7L
GMf5fT3R0T0k2RYQ9fyC7BN/UwK9Xntu9Zh3YbN3oy7hfU+mvZOE9WfXb+1jZszdTdVO38uu447O
lSrfemPQHtKFP+toAGSvFWeox6GcrJStKXXfqqm1uDdjGTwOWW/sRiyNdGtVDK0hOm9VT14RFEe9
n33GY3pU2Tq3ZLrL0P7Xtg6zA4MXzG3cDtWQjzfOcvAGO4JBvgmzK17i+tRUSXEiauDfhbIOvthD
H7T/PRve/0D0J1lRQmh/if9cR9GXto2b8Iv+o0zt/OMv/xaDs3+xyZATlvKk66G0EEP7rSDFXPRo
8mwuvlKTXZI/+fveaP9imYK5vG/6GGKcBUX69xic+wsbGBBQB3EZo7Er/5O90fV/Fm1ALbk2arXw
BLEC3/zptGYGSY9y1I87AC6R2I0IW+sB0VauSR7MAmIEEu6WEiOW3D4MJo7MbtXNG3sUo7Fqndbm
tuiIS8GmsCq7kpanLsjpcnPd7BH2jfGkrCA6hmPZX528oOMkd00qRZSbowGn/tbFxLWCoIbbT3pz
tPanzCO8FcnoEIxO9jKHmN8YhNP4jn5l95tION7aGoLp3hnpH1zpeYHZTdzYDlmeg1sSPXmuLtaa
Ez/70ehxdtlNPMApNrMF2uhmtOTtCefWGGInQE9dNpuPgYqzVzmO4SOhKZRXUyTvtbeAlbI6R5VB
wHsPS1+9MW9xV23b6S+DGCgtstKjSgSDRg3kYl0mFiJKAgvkOjZNdlfNeCtpUUpXhRjPodlWzM9w
tseSSTP7OYnwLq42c+lY717sQfAqaEeh6syL00tN0v99IFNLX3SY+d/C0gifBctnBHUNStIqdg2B
4iHQE7iD4j5iUrniekHXVxKKEzUxxpria+BkTtKfx1LTEokpYeOKMQYB0sD0yCjsK9fzWBewlQGA
bnDUujcdg+IvcWHnzOlIN+11P+FgronRzCvTn5rLjJi0qlRjSNbYGbKUj/y7lFcvEB9DomMxDwtv
Wm/wT6NPqW/UBA3Xsy6bGG2OMcFe/B3g9w1ueWwFzGHkcg+XzeKUniR9KKkePNLLhI+L1aSwQS21
IVSqRX4QH7LIpNFGFwNkV1GOB2ha1I/gn1Q4qZxpK6oOKyYJYwCPGV/r59aW4pricrgETtc8RUVU
fglNGcF1bIvaP7chX8W1640VoEqmcLhZaSJUTHg5fgCkf7O6lqKJ2XJUiuuv0I8Wx9urbVsGo9Nq
8C8JW+I1h7BH8quIqKvwR0/fcxwZXxqbzpBVkJvGd1RpEkMe2MpX203zd6d2SqbQE39eCn94ajDi
w9Pj4juudJtE02EQIHE4GUbFGe8WN9VMDHuDsycYymF4oVenelBtOR+ZCS3PbUrxrRcZPeUsDugh
E94wQwU10vMKZ+495OFa/moA+IxLLfaAhWygGdAtEAoVO7RNKiPnIpqN5qewnszXZfeftmbNJIRW
Bz5ADxpGuZdUY3CQromSMyHFwOrW3lICGoEkDZzvQSbmz0M4bi3YaTIf5FcyXF6M1pjod+Uym13b
lj1+Hvuk2NQdl3XQ2cPTiDB4iaifP6TKFqcCUGYBAb3lj92Y/Xsam0/IHHa0NMvYW8TDEjgOt3Uq
g0jvysmp1oT9i106gRNYjR6lJ1NEezs5fBTkCkfnKFbQavW+qzVMWeEGL75IcpBm0vUZA/vO2rBQ
B1dTqzH7c6YhsTUXxB4pzV56k4cxL7fk6YlhCmaR3+kMj55nN4rwyVlpuK1bKTIc9mJ4NXhQrF2N
YRkWWF13n3OZRFT8Gq2BVT6eebTnXC29P3E+UR+Br3MFyBKUOfjMFUBPFhbOqN1tXS8po6ko6YDL
m+a1MV1ACHnxLc37BMEcKOyW2IFzjvw0InAG5R8WvV8/m61IbmYPzQpD39h/soNQXyRu7s9W71LJ
DP0UH58wFGj/kXnqOndz3IQ1Ua2vTeFlhzBvv5p1TDGPV/Tlia1ELXbQrP5mGyGRP0N3pMGYHg43
MZ1WLT6FcFKc1hNspEazqBY2JaTeitfpuIfOzyJv1SShJTfU5TbfJxs75ZrCVgJOFbuM3ecHDeHg
FDhxwYVqqS6OKzXHm3zI0nYvyNlGh3KB0dux05o4ABfEWALHmFYU6iiJjUAQg3CPGMBoytT1j3GY
vBNBWloFGzKlsP3g4LcLEb/4YOPP+Jo3wA7qz9i1wMlj6Pfu20qLF47TOOfpMhUXMyrFs68B8DMJ
9E5ekjGDidyF0O9VobyrwDDcEbp2n2map3PcTxy+Pm5DbHE3VVaa08fU30DdcpYDOXUA3PHMHJnQ
tX6YtWl5Z35DugOcjx6ByJu8z+2IFM0GJZobnls6B4g4KhYGJPAn1iZ96ZdmAviZgPlB52xAVFJc
MBp6puL4o9AgW7oNjKXlACXY/TQlYE6ycszvUhoHgTRTp8cEJr4Kzy5IDFjWNWFFWltlRFomNNPn
ypfVxpq6z5XpyidyuvY1XUoZsFzLQ61y86leKhtwb9HeQEAExUKilCUf7Q7RUvRAHMld+oKeytI0
ruBSgk360QzRR0l6NRJBSY+NgLamTA1fOvvdHMF/KIpp1fK2ResJKWLRUTzO9vCCZfUl9gCvIjuG
ate7mCuamaI1OjsW0ZCjQ58N89csIqdCVDfRSJ5ldAfAp7nkVe9uETriN8xxn3O6LPZj54/7gMAi
VuA8/hJ0E7kfj4op5Otib9RqPqg+Kna1MXjO2vOEsS2GGkIfqjT33aYR+sZVef6WRT0FSqTNRm/L
Td3KdoU2uUSEADjWDW14xy6K2yc8ueWhMHR046emBpAHdQUmGNPstPwwx9pQoFmA1iVhhifF1nJP
mBFId0MxDbm71AP4Zg7Nl9lKhhtUlyDZsiJEx74MCKOYvXgkBV9drQ6ILFZe5V5MJnCP8CUnRv82
jZRDIwXy/OjdTjNZMYgb9ARR/RRl1Be72ZeK9p7PHTnxhxbe0g+NMdtlV+YoAQS7QhEFHIBaYE3o
pWsYqEV2jUebcZ6SfMQookNw0A04s1VrlxN2PEU2L52qawpCmKYlkkXxSjaWJJnKoZmwfhi9EH+N
9A5wXmncjkpHZztEH2/UECA+co+E7x3DUTz6gdtAB5sS51Nv8EQCse4fMNfU+zbNrbtBRAIRQTUt
2FT4pwdoyuEejaP9TGi2vAcBbPgbgfv41BFnPjsRCe3VHObJxZ3kdNHcx3voqEZ3zwF2gDRKnvqV
uKEO6bvv4X0TDZRPZjLWn6RIqqvfAFQaHT3ferAj4TszHiUVXy/6hIYtCDMvB7hr24vKG4np1uiD
4uRXBfGG2R/7tR5aA4e363yFWteCwNb29KUFYU1Bc14YW3uq+vdEZIm382XTcc2O/EPSzcN9n7ZW
9+urrG23WFd23X/2e/dJJi0IQMJHn3g4AXvXeO+uHj1Fq6jOn2m8eciiHOBFFjYXn8oOntmAMHZK
+GkPUd7HozRV7QYHPB98QD7nU2VhSoVjOIQphHYiIAzPPcbdMAIuvlWWD35ZOg899dA3XF5I1oVT
9kr8H9Kskzfe13SaqSFOsa+t8ZGoW9IIJFWbrB3fvHgyp1M5yn46pD5M7lNUCGtpKcSc0hJywK8a
6n1QUHgPLXKJwoaVW5UroT3/toD5fLDYub4bVuN8DwEzd9v+I1HbfaRrnZzPeqV6GYu9KP34ufcb
sTNohH/FfjI/mH4eUB61RHXFEtq1Uj96oCAku6Wnab7OsWy/ExZk89UBDiLeeMyPQxigg03N+7ik
gd0lF4x0crbqJZAT5b3zJSrjetyisUcS5x/K3Vo4E4BAwkt3XuoOG3MIMelGH/ljrC7YZ8yPXHK3
RJTHvoYM3tRlnjBXE+rVDC1g4l3dYu1Bhh9WNe6Nr6Sb2sMAB/Gm7AhAw++sP2mfoE5TK/+QEWl5
6S1zQiVmkAeYr8MxZkHKitc5pJCj4dskrFMMlgegl8SutUSLUhMoeRL75LJH3XbYX2Ve7YnAtABP
rCa5cCWgt1Xjl6pGs05XLTT1rbWkvEHWE/iOPsLfssrJniSBmoHfuwYfnUPSKs+TBZs5cpbbiMAq
r0QG5kOXLfDeSXbJXplNcvB+DZsblngI+WYeBssp3r0S/9Nyy/5oVKJzGFKq8WguyXUMK/pTOtbT
MV0y7SZJCYozl6R7ZTWKP1na2QdDlOfGnKoLkRlqa2MZkVUpMxoooRXr6CDaOLwTZc5LSKljsHke
yNR3fv5DtxKk2oi7adBZcjWgtzBsAhtBtY1S5zAarR6OgmE+JSrwH0aRzEDtyZQTh++c9EzYlwMJ
8Uv4ViCLxcaZbaIvoEyqA0Blk2h7ERtcTSOGQJmIc3XQbcNHwzGenON07tWgTy070peY8bWDILiU
I49M+AnpWJA9N1HbBuCwVDvu5qFFKUwbMJQrnbg9dzagrKNhg15cCAk67cFfeCBO5nFE2+MYmVdb
l8pCHNxOGh/9lHPZGKblDeQyVhIDX9x9bbnmc66WOwUDdcq8PHbxNcQ+fWd3cI9zpw0OwuyLQ5+6
kFCIplKtV+TjC+YcQaQlccojHYHBG1p2TA6QGpCbAteCOEqt5/ATTC0ih707MNP9b1Fv/scNswg0
WAgr/1rg+fS9af+2+l6EX7LfSzy//b3f9B0TqWbJWZiuy3gL7e4fMyz1yzI3YohEaS6JjIUJ+fcZ
lvsLWpDLAIsrimBOxR/9NsMSNNnYaEieCxbqY/70n8ywFk7T7623ju/Bw4DNT5yLEAe1OH/7fdjC
5Q5C8M3xSJ136a6GLssVAp+KilOAScV0/N3bc/31H/4bRN5rGRdt83//jwVk8uefZ6NzwdfjHfF5
IX/8eYkYA6rrfdAqaRMSKk6T77a06/veKqrtOPUM8AOYiitG7MCU5qlH9Ewi1b3MgHPxIAuiTbTY
9pt/83v90yTP92xqKz1mjUL4zNH/+Hv5TUP/4JQjz4jsrS34PazB8FYuCFfR2iffx19aZlLvgjiD
CzjdKN2Zp7/+JX7WfvksbOzfUDOFgyVa/fQ7pB4E9wW2sa9ilDEy/8HJszDH/fVP+ZNPnJiyp5AU
2TWl/xO5y+VNhoafeHtZgqdNh0/IfvFhwFqC/5SM4F//tD95TQAUeDW2q0gb/fz90kJbCPOev/cx
lO9GDy2O6774Nz+Fh/LnbxXsUga7vmPyHRY/fauYJVg1KRB3ryKENK76xFGzjuNU/PWvX86fvHkw
1xgpQ1GFv/ZBPv1d8ROId97R5esbxHQbAq+Gpc4uncriisP69r/ww+Cn0gBu03dl/vSqxg7UttvY
7p4jKNuaZ9kYIgVR7Rnf8Jg4h7/+cWJ51n9aC6BVeVLarAisUz+tBTHUuBl/gbuvDRtrQV/6lwFV
9SGzIgdCa7TUvNXODjq3ONCcVjKAzYN3J5MFVsKxfkhST+9lkfcbmTqBRVq1pkVYUlyp1DxfW1ER
TfWiwq+PXYIFWOa5h7hazeyz5WJxIaBNfoooeL8yE+de57m+/+vXaP3Jc+4rRup4K1iL/+n7CPZD
EGeI3X1YROKYQCc7TkCsoJSoZ4NwY5UE7L06/OFKulxtkYonmCfev3mr/+z7ipSOGYVNX8mfNXWd
kNZUQebvMwxOx9GObzmc+6sFJPqrDvUvG8P++Sf54ANdyWXCU7zXP32mURU1AwQub+8GMRbWpZpI
l/lbQ/nO9t+8tbSf/dMXCOSQifgiAV25v/75756OGiHOwBPk7m2/F9u0h1CiWfGvwnRGXJR8EUTd
PtGfjd2xa6d00+IHXAcO1kku7+Nw8JHY9wSDOMw3nXIeu7hXX5D8vMPgJG22BmUxPQLJsS9t25fn
lEsY8nE0oS1aXTLuMs9X67ojiG7mLr4if/IOFS0bO1xcE7OIBuSYrsnQKO1b/IcmQ1wF1Ivy9pZb
b0iN+00XJeoOJhTVooxinW0IemcDLii+I1qdfKGgNAfd6g/MKPz5MJEq4mBau8e0bt3XWM723QBi
iTmuzfgOUMxKYfk8eQgBN6QJNn7aym2Gv/oYqVhzQ7XgE41d9WRTnPoqOPp/8UKTRogIeyCIkDpY
F+XQbF1qDHcFdc+H2GyTR8Os6jtYth7ENbfCPK9HKIvjIOtXsnPBje6j4CWi33Xf57X31RkaklaB
KT8jvX4CskMqAFCvc05aDXVeS4o9sV9yL5HM2g9FTwaeFSAUD5bl4UeWkcN4zZbN3dwzwEZUcPZN
rdM9L4fBZg+OOICJsWGQ1GWnvowXGZnc/MXvfD7MpR6523Qi6Nx1Z9TxPmNI8J0jE+/JIItLhMUR
qb6zbus2CHjLpOiOdWk3nyziEwt2NanxWkJbWQXa9F84tk0t+WK/pcczZzBER92a8aNBG6yyqYJx
8EjUiyMvDr0qgJvF1r9gk3McdZm9YAt7D5NG6OtdAUHlTtBNrxEJGvUlcFIw6Xy2LEI0LG9toNCf
o0qARCBP+xketNmvPFynd1hyyTB6SIANI30TuDCLB3Y65g8aSDM+6pehUW32ImVWrHrTTL7WKuE1
uAFjqZXfJyQiUfAbyEhDRX6eVvccBTGzbPfHHErkQlKjRbghNB4kew/YwYzZr5sugq61E+N6p4QI
z1UtcEJzFaH47QWxSoFwI5BGpOr9Rd43Nr6t66P2mV/IMMWbHZgI47PBwDexQ39fYooEOQjcYcNg
8DbtRjoZZMk9biwYCtDjrGW5ImHkcPEVTuSvDLroL+h31MZY9QmknD6HxBweZYFtOY2nHa6V6Al/
27iN46rdNfxuh8Eow51ftz73UzPn8x1pGwQ/BnwPbgoQxKxzduCJuHRDMD/Lqf5eAk/bxh19Chpl
6M0PfIeiMFT7o2FpjXExEZQz9wwoLDI+e4PZCbmllHefQNmNh6MPptIUHaNCe7xW/KCyIUdt6jC5
TfBYHzypg2+pnLGlpglhoz4xiW7wET8GWLJgeuG9HqY+2hs44m2OoqCuVN7eC7+ZDqCA8r1mRL+F
QGPtPJNakFz4O0IRZHiI25wDMSTb0QWPobvEXvXVKVSxd25Kr0bNmwfE7ib01kESPIdTb59rTTMh
Zm5x1rr1mdM68pnxX7vNwlBStcFwhlO5Xi6KqjxEeUsEXxH2UZ4RUkJu9RucLP2GiEF0Dqv+Fctu
c/JKE5a0YkIwdB25j2AubtpM4UKpbJy4Je5MKmaIy60YMyQoqkm5GXMO3lLNtw0l8syD3PlR1G5z
gyAbv494kFamIZhNBdhy0VbGa9OXwzERRvBa4eJZAUr1nymFm8lZTsamoNftJgTo08Gq2ZcNWGts
2thO/h97Z7IbOZZm6XfJPQOch0Uu2kijDTIzmUyzbwi55OI83cv56ftjdDUyMrI6AwXUqtCbBAIZ
4XKZkXf4zznfsa+4km+qmhcHgJI25ncDZgIZunihB67oXdLY+Cx/geXkIp03ebnwrinaG4FW42wW
8jySRQ7cJov9aST1qZuzdio6vN8boFBFKAonD6yiHsPa9DA3ah0XCs1GihRiuEWyqdJQmIwBig7B
PquU7wnZqxwd64lD0oLIlbSAYniVbY2AIvrldiQUdQZa9tCkSEEZc3YHuYkSNp0pW1R9MM4Dnchv
btCvnsaUmVEFCqzSoVkpXcztpDMhNfrRuLRjH91wDpdbh86uu8w1z2aNGk3MhpJowwaFOvbtDxo5
XN+ZKZGy5+WKQkOr5ljZhIan0X6D7IVIWMRz6BDGMCCcxxGceyZ9HKvmqnnmXEaUrkqNPQA18ubp
WPgai80lJQ230VrFe0z4fd+Fh0c/yKdC8GlQeDexnLcZPBQGNU5A3itSge4w/djSlQy0VHqLcy3w
6jFQZPF6HRIhf8L5jqgSJOeA1SibJze0K2bPhO++Z4IOmziFWDQ6/QfgCcCwsyCY5wIFyUwBpZHq
8wCH9Y21P1BZfC68hFh9Mhn5uuHl77qKfUen5H6j9Wg02jxi3iriJExTTGZ0tfIaj+JOEAK9Z6rz
MuipGsSe8mwUY0Nhk95eySS6oQRVmfsofaRHI3vkyc1l4S+O2T7qtvqI0ZfMWJMBmaTEfN+BnjlO
szT3ZdvTNxZlCat8X7U7TJ3qbmh1fQc1096xpCjbSEiaZhq9OM1dqV+pI0mDSk2qd9ru5bY1LUJi
MwkPwWoxSa/+ZkNKt1k1FvvFVofnGL9L5eO/Hn+JYrFMYlH4yzKBd2BBk+PMaM2hAlZ378IhOIyp
/K51vT7S3aw9GprXhkKdr6lgEDwzXaOuyCDsomnK8DLkefxtLbnYJnw39xg01INjtVGoVJ64LeQ6
Q1lCjPPa/qJVShwWqVcdyc2g4hOgyvcMAqcdaiTp6qgFql6qD+1iusgz2F8WFyfMEllMwmMzro7M
8lTfnXQ11AyCputUL6xxTtyZc4qBrit7rNsTSogP7aD+1Mms34GPzLuwIti09eysYGrtaQczQf4k
yHOXm/3bLKb6PNXThUS0/LLKpj+1DRpbrBUYKFz90hu13HqRlB+GJChbqu1wwJKwy2vlBZoDCOh+
aVCZK2SEOioB1zS4I+PeLp/JHnUXfGX1TmUT3E9NfKywFjybDZprxUw3QM0QX201LuzcHAo2esow
GCENto6+atRAkS4OKbUH6horX6rEtVzY96t7kT4EBhnDdUrEazNTd1Ar/SnRBwxs87itE9btpVv9
FiRbRT2Bah9wDAxeNzDSZNa/NM5ZJ5fMz0zTBw72UJLiLApIPK+xLMPVN4C+Xij+TsPGoTw1Vz8r
O933o9Ydip4yJyeR+t6oHTyzJA/Z+yZz36XWsisUbDyeE0pyZ+FszzO5v0Zxj149ZYFOs+CeSqlh
UkqMBrkWcIUK0A2aHUf5fOvGOB/tJIt2CYHBncHP34jS+uxaK3pzGGtSSs/bTJiNMtZl3zXt89xR
giGH+dgp/Yub6cMV7Q94v3j3OpynRqJ8Qpt40Y38XKX2YzywQ6WIU9RH/YrzXzhbhl2bpoz80/gJ
1hzAu7Y5Nkh1qUXRo74QGHR6eSqEchI8QSfIHPkuGg33s56cLIz10meX8imJG0jmteXrYnwxiitC
V2/xyI8ojliBi01vzQpfoEyf6BCRrGLVs1jcF7slFgBunyDYj6m2TolWvKMsd3e0QlA3UogsrMrk
OdE90sHl0+hm75XeHprOLHxLVhfDJnYFZRYQdzPQ4DjgvewyalJ0QpyBaTG/SJjrVgila2b8lvFW
HYosoRJPPdjjHCgukSnMS5sOQk/QZkm0tzV9uK+82KIW1ZG/uqLwGJpBA4uU8kgjuh0O0bjs0BZ/
5obDxZzr/lO3omnXSz6vLI3CnyjYTVjSqhlHpRVSUlwc57yg1xGQ6nqUsgn4GAiuCfyMQE5VhhXH
ExiMq7NuisnHEsVZpYkoxwN0TZaZK4Ikd8itXuEMwy+c6RSxTWSDgLqZFc4tvm/urfUGrOKja8f3
pjGmvq2LH0O5hJICBIQPTp9lrvdwHVjzYX77reHdksU4G1n02s3VpbSxc1UT33usNOoGEVYckmRp
2PQrLBzm5Avc0PqUNYTpSfZoDlagtP7pKOarXSBuLII9e24kX5rIXxrd6K9zMZQvE8NQ7FOkn8QY
a3tzAQkOYJFkK4Toj3ToO/LoScmSUmdHp4JyMTvAIlooI0HsiB+V1g87gI38pmoGpTMb7i0NpDMB
ynq7YLP4dojD3ZMr5HRnG3Cv6LANiU91VNip54o7S5hx/8HmvSYDsRZYuriKjguG1bjtW0IaZVcl
Ub9jxPLY9qDioqb1CaDC8iq7e9kq/XZi7dia0PnONdBwDv0T9+ZUE+1lgSazEemUh6rN5ditxCs0
Qwwt+MtDPRUQ5aPO853Rnp50Bbe1UzWcJQUtZ3FNy+7EL3V0hFME9sRXqmt9s9cTpd+x36qXpk3W
ZFJeHYlgg3bPtvaa0FPntqDYrM/OOar+i9Rq+8WdrF+02QE9IXgDIM1QX4uh6PaVlimPTTOInyPP
9hXpwz7PKVazzDCUXdMlw24qp8QfC09erF6WW5MxToCZCCJnC0tjM3KaJ/elSeeZlmhSVnEHThin
MsZJZnx+YciSEvWk6Q+yhOBLkPB9bjkqxky8PqM4oe251WY/ERyF0JrSnZch4U9zxlkpU/u93VZW
kFEIe2xEN7/3yxxwYbK3Ba9vqEoKSqn1NLZjtjIpaJW5piqq7mLmzdFxkiGoJDFiBlH+ALnsTF7T
2+uDpYUTs5R8k4G5r3WZns1JCGwhxbbyxin0eNG5S5Xirs7SYZulgnOlZYBbHyE8ZlWRkITXIJ0t
+EebZcCtNen2DhnfuuPnzFg8yfgvFt0NROPdY+R6wKj7ug2MlNM8F7DHEbHrRw4m3odA9EX8dnzD
nfWjctCdWsjJr8C6v7iOi5sHdTUB+gZeJqX1N9RyMdwpqnwmUP7Kj5XHSniHxCbMJxOOw9KcZ19E
jNz0SaaSL0okF11VmA1hxDK2Za8yCyoVjaljatPGW/H41HUTQpaJ4pBLn/nax0ILeAQbUONs01FO
9ZxbEbdrk5q7FfaG6oFZRfWMwdwjNJg0HyAwjFs6pOpVb1tjm8xcDTf2koprrns/qXDwbszjyDUq
IAco3alpZlgyvyOVzICpd065rMSpqtt8a3tTfhimipFoG9nbVqkBN2Ax9BvpVlgztfSIvA0dFEKg
g6elJlVSLT9GCZUppoHtLanJMBRZJphw2D+dqaZAkACGj0AQb2VpNPeFge8vH+YUTDM3LfBb2YHH
78Ez7Uaj3SJu91NsJKd4qCifruv0Th+GFN9czkT1rpj6woHXZgwPc6aaX0M2tvpRWfJ5N4z4On3D
Xpw3rZrUfGuOzmRtBe6a75qHzPGNZs4wEcYUnS2lR3dfoRIC2br0wJmg1UXxNtpWv1Wg+hAT6ZYn
VY/NXTMU7I5zbgaoJo+Z3bNmeiL/BLyahJmrTYGLP3irViBnc9lYz1FeQSofKEfWxJGIKCWgOXsH
72qxnCtRetsMCAe/hbPgOUuqNsHRV9Qv/CDxDJK3fsvXtRP+8oX0bR5mVeMQ0/G0sNDGhGXO7ar3
BqzrsSOOuV1Mp54Ds24jGoKi4XmkTOsxj4b2Kc0N84xOTO2WQsejSm4Hx3LGlF0WTbHXGo+wU+ek
fQBGe7FB5misiSUm9A0+CHctaC8H/JWjsk3JlxPfSIC1F4Baw9aJmaXPbY5pK2czgGvSK6shThah
Eo3NB35J3Vq/k/zJYf259KXb/xLVaiGNuEzuej5q98T+DXE11cUtoiFS1fIbPLZyh7Vm8q01U9t4
anweLUi/sWYB5OXvQ7k3YPpBuTBwB0sawRwcIhZedIRQQQ9Hx27anTPEQUP616dOyvcUhUrSKafc
ZPCgQ1hxhhuwlS8YjjJARLmhcEGgM9nmKrX3Blf3haDjbfRQnh3ItDeulBHvf5nt6HRENG8b/lZd
8jbO7H60Uk5bzNyI2cv4tdD4eqgm5PV6GV+Qu/ckecYdk1qNjrdIpZmI6K3huSpxRSX3i9Qx9xU0
V586yhbQWHrDe9xv62E4RqY6of+7Bg3zTIUJVBFdd3DiYzBx0igosxIuo6HOzg7o0UDcXG0In8IT
2jkOGWUWL/pScXl7u37Wm1fGH80DBSzdLQZF9+Z6bnbPJ8+9mNFdqA3CuecsBzy9jd2w5O0L8I39
ApIu9t6iTffWElMBCQMl+skMlhM+83KamYwYV5XJmkdUTRJPCPu8UvLtGLdwTPPa67rv3FS1CWx5
tNBeP07IjvBdEtZMo/Ge2Ut7a5OAo6BueO65BueYupdD5834eQROwV3sdjSt1E557qw8e87pLthq
idviKKL+ETQaiktEIwMgbn8q0mRbJDV/ej/KmzU25q5sSCgxFnH4o6XH+EIy0SOPMDFE5yxLJc7U
6hjzc5bpRFfBpEaTX4kqgEA23EdFEXTgqIGQ4aetKBsDRP3dL+K56ibvuZpGXG54mzJnE1cS1pm2
vJXVhCN5rafucj1MBlyHcq2ZbrrYr2cIpXHNTAhBh4KUVHmRo5IGXrriQoY299NkgWFKyXaJDyvs
am5duLWxwAAuCuVgQsnAF2ccOMEO1Qa0A8ButWNX3NTSBctm1SMxB0HR/MaUI1RuV0n6BTOfqlyA
5s411QOUE1LVQxuy4RjWHYe++qDjxth2adI82sMMlBdX6uroLyUqNQMPOMgLlJerNCCusoAZ9pMa
N+1e5DGXSMFtpQ4w5oijAqyj22DgmsLcxZvUxow11dGx3/i9lrCbS7kKFVb9YixDZ6w3luIaqXHN
4GZpja9Zbzn0Kg2evMarcM0zWWye3XldLPNhHSHnRmR8m3ZOrnx0XbBCaAhsb8xLXq0pd966OXFO
KFL1ucAicEP4dA62bhjPqhXHdFBYv7cxK+YIwq6Q3vswuzUHGaWsyG0vncqzraaM02yGdvTw8W4R
na/agA6AtdLONJ57XuGXSM2a79yhAnjTebK8xzSlIzG0GZUALXjrr1ax1EOE0Wqvoow84uGJ4oDS
Jcm+U9s/Zsd07q0mK34WzhIxMY3j+36qzbdeMVYnXB+XH5nlLcemNPnnavQYQxQKFyZ/gjjue01t
PXo13SdrQaL2Iek22o+io2VHuol9zdWIaYTbyviqLNRHrBxIPYnSF5UE6Hdd6fULIlL0WsZl/a7w
7m8VySef8XHmB5uT5J50//IKyjh5q2Jwhps5jbp3XSj2B1Ng8wf9c6DWmwULgYH7yZQc4RcDO23F
I3JsFBPMQknNCaWs0zddEVDumdv4tHqYGyldzPJzWxkvilWCUJzU+SzG0XvPND3HHkbdOOHY9Ggz
ZsYepnRN2NQi+lgYsvAC1EX77lZddATdZHOoXgqxyzkAwsQqZRLGg/XE5lX9GnD6Xm1stzvEBrIp
FpWFW455ma/lCpbfEjc1OrzK7EaNgkGLi90Q59kFHwcAJJb9dmvUTXlFLuu45cXMu8gFcSip9LJ5
nOUIV57eAOjKM3xn3wR3dNa7sTiYGMwPE1FjOnTq5ot8IcJgrXUGDjjsWQs9hWnxJL1RVQNsqvWZ
BYMWGxO05JW2QlHvuCZPuj/oLbfourSytXinyDln247+qdHl+cDAeryqatQ+WoNT/6K/G/+UWuXH
pY/sbwB17jnqmuYUm44Ck1kbjG+r7+pfuZ6P5kYBGvFeYT15y4SQzgZLr7ADjFgYn+fRpGN5rgx7
z6MKPxKB9ElaLXxnahgXaO0wcG6K6MyX2CnLryoWL4DmK7+SnEjIBlFf4hSxNjFxb1cq4Th/lCRo
QEMyO+05T1HZ5TB6X3C7MdazvEHC4R6hmG56HOX5RrGbRT1mSWuWONk0TOoChuJlnjqrDixUV9aI
mIZ4I066uyRj/wpy5hXhuBAt3pTVQJpEd9lsdJkjRDeuop6H1pyQrapev4CTYmDndDCKLduJP1Ya
eE6nuXwj7U39T+nQcDiUor4lfFFuSCm8+SwRCIm9ANb64mhkErQmo/GZxdXIcKVoHHAOTmlwkNLl
PIc8zZncRcT6WCCExKPneJX9o689GwAZR/67ODKAnXTrzubZ4y5eFKb2SqV5NIDMP4XIlw3KMTAK
rta8J5yR+A0QEzRyUnXLlssce0LHcd5jXP1fIh4jRpYQRRJ7xiqiaSerY4TJXmAKe2cA/0gChwm2
voHgjeBh8H88ad0wgICYTa3aEloAJdprTt1tzSRldEZo4zOiSPzgwLWgyyfu4LFSb5TSGBC1n2J2
ZnZdAo2bAelmvstzpaDVrLPflhbVARGDy1sJOTXfiyI3vrKiU+9mIOxccNfWuHkoq52RDza5s24O
bRj0iHludRjjHqHMQUy7Uqc5QRI1e3YTQmOfS0Y5DNNJRbxmTlLC4eE0gQ392xg0D1qp6R0z3FbX
cTEwmfJry+MspDjPcw8+rE254895aNoY0xXUvh13m5rWGZJm3607AN/0aBG6Jq51D60+3elxuwIX
SyPF269M+6zUkiFEt0/CSpofVq3ON8XOzE9QOx1teSoQd2pYesvIng0nKdQ9/n6P4a/ZvhGxrk5K
XGuXoqmVW6zof2XE+FfLCyEWXFBs3FQgm+Zqn/iDYyHJVQcuW+uud3rEU27MV4dCnHvKG1L2bY6q
94OmZM/gd9hK/71hwvzP7BJYUFBBddBqmvsnf8+iK7abknLbzXbc3XsUHe8HIVERVGR7Y5xUP+JO
hjCuZsPXuLCliL4vw2bIV5iP/MwbaRGoKBl2NkSOigqBqZpsCGgc49Gbde1agaRlLFPCkmCAShRD
2GZ9pIJuOXcyvUh9QKqwmA0aOLUKvx/zhXWFEzB7faEw2M71HYQYBWycRvKc3owNfmFCkqP1NPVc
Dqxx1q7Qwz4z2AO+4gyg6RUWfNpgnZqu0tUqNbnGX3x0+r/aCGGkqhBDDUNnOvjn+smSR4mPz+S0
joeSe4N6JTQw136fzYdKw7I0zngziOmzKwEvvUtlP4ceKLaGh6nFwBSATvAIjiQD0dy+tLeZZwwH
tZbUMU3K3UQT2NYtcg7ARpbtAdk4f2HMWY2kf3JbeZ6FoGW6/C/+nNU594dHL2UvaQZPeDtVNBlX
HLiRNGAvU3K3KN2NemY7GNicfTgwyRFoav8Lxas/CHV16zFws7QKuIIciRNW+Db+4tn8z/5yJv1J
OKAh8f3ZJAiBVrE1wFK7XGNQhRQZeyc1qsRf/Ji1qPxfPgQqk9T1FWBp1/5kRgQxrJgyarwd8uec
s307yn4cRR9MU2H/1LnAs0bmJBI1UOBRP9i3lEPoBLOrBeHX6d59Mbs5thlelgbW4j30BHXe5NFC
7iNVn5ouly///qPR/mxpZL1WNctSsU6SJWfh+OcvDkYIDY2SZw/COIsCcDPLd8izbLIobzbM/c0X
L7+v1bR+LxamZ+g/NDsNRXKcIf0HmBnmLyvzptPvf6//bsTO/ziTNmooD+nqRft/+7QvHzi0P6qv
P5q0//Hf/YdP2/qNcSRUABMAvW7/ThTAftH9/W+e8du6zOCKNFSswerKbv6/Pm37N8YzpkchFNCD
1ff2D5+29RvRYDy9XJZsDMX6f43Ds5rB//iquEAQDDq+XE8nPMmhdXU2/mG9WFypq2xC5YHx90z/
2gd5XpYnbrSXxJyjU1r0qHJK+Vw3uR2AQVV2rToVH5NpOWfoghpis7tjmwOr2YzXyoDKalbuc2yW
XgA61iEeQ1wbyimHDZJMD4OgVX0kehuMTV88yoR0HV2eYu8m5ns2UCgvmcVLhpyuldKBSl6rG6KH
nhs3N2BSOzmVcwg0z8yK3VAM2ASgcZ8gR9ofDqWYuwGAgax1zDqut5yLcin9buzKTVHwWmGO2veK
O4ajhKyuE95CZ9bIkPW0PrZlk20mAptMgZWg9saHNjEpgKTfTXfQ3ssTvJPtLHXmUdZdLRqIe33q
97X+bdH6d1SSCCuVyN1lB071MeWzva/Tsg6HRWl2hGueaVXBXTSeeosPk+mWQf6TXzk18gvODxyy
+Furpj0baA44Lhj/plP3iUsM4t8LHZTpRraFFyZtfzS1pLjAuH6hTRBrUQ+eK5jbkm4yza2+O3NV
Pu0MjVwLSHVtqjl7ar34kDTQ7IQzxsHQNBsoGDFpzGyvzP2DApUfAUVOz326WAfDoYay16cgzevt
3PR8NE4b78s6Th6rUtwSY/gZWTMjF46m4TTNGNW4A99bhiAdZXEjp92q8Qn2ZTu3g/mHN8g66GvB
olHWNyNfRULNMPsgK5P5US2iJeFK2jU7yGrx/WSfvdJ6NtSMngLG7tdRcH/inHyOVfM+ySYmn/Zr
XMyXIiOT19FjDlhNnLg+HJSFvkOyK2OMa2NKtzPeXL4qecH+9J1XjyqJc8yXnrGH/8bgr5wxHWhb
k9ifOrQg5UBDwqVYUel6e4GxfcotbC+zU9FG6YY1iaZJqs9R+aIXlI42SanArF9/dnZoOdEKTk7P
6Fyp72ID3kyUFsoQerr0S3fUdi1MKaygHyal8GCPve8igzLERYNW6qMTtVejQ7ZBBaX09iaWRHsf
QKqTssW+YDL2ePTsKoQYwTBGnx0LUVQo9/QAWFdtXLqQjsFkh3BvfZI8hN8u8rSjmdiyr0ULMNqI
JJ4gU7gf9AbC9oDZdqfACuOEg7mmyKLiNWNjHnwKMVOcBIhtgJ3FfnYEQCwH2BOPqjyQKZ3f51wC
MG7H+prYHHQcpyp+5CSaHxcTvlGh5sQSG5i0iV17d/RA2qGGLSbsNNpDe2WZzuVglk9Ll05PblP2
R2xy5XNJeV3YDjoqm2g88UGCyglazvsXc/SsM/GP5oTRcnzQ+sq4WNrSHztVaO9aVvRbJ64nMsie
fdcSmjoITIT3qLDJL8PE+b6R5Sy+GkCqXOcHPnUuxekZkOp4wjjd3RXQhzWf0a96dck13yiYay9a
pGunMq+TZ/hL3rnFlnjiUXFOhjKqp9KsO+5YkCT9HgDiTivIKIIXiNfs1/yQwcSo/uJ8Q9Lhn1Zt
HOZAV5ntsgu40Nic3/Mwf1i187xzakPSBuLGcXFpTFEPh0wO8tIaVRX0GDGDRhvHDZegPtA4fnM/
o+LZmpR4a3b9sz1IJSTd1/IWZJIVFrU0sOIUvFVCaj8x0/i9i3q6kNM6tpjdqNkdpRAXJ7KxTLTe
cm1s0IZm5BbnOS74otrk2YowAwviOXs5DZS6apKh8mw9wXyiP7QfadPsY8jLIyPmp2bEz7zzrBlK
gXSWFoJkxR+80XEE4CJwmnlXLQjQvkyjAa5rGSeMfgGwvysadIegpVAYNr9Wrdc7913q8ZHYKq0R
unvrHfKyaccExbAJF0AfwURN54uKl4pU3UkxYnM/l1Tp9r1xa6bulDSCbmrH9ZuauekwWUelSCd/
Acu8zcF+bQgeL+jVGW1KSXknF3O4i0QNupHXP6UjLRxkHK4xAD/rGU+AMMaeN9rxZ0JG8EjwB3Ek
xvhFXMW61DMqcesRRXeSPLs1i81NmknjhfSws8I8eJQWh6dqUW31NK4GlLnPJC4UxTv3loqbgM7V
E5639pJbnnqrNVu9IqPo1HClQ3fHdz2dqsZOz6PaeWfNxjZB31kiv5y4gg/MvTX5VRY1IB4RTZgZ
eVNI2tp37vr26Ot71K9vVAGY8ogB2LjkSjU9NG3a4nmp2J8TOVyaka2ysoX8aJknM7LwTBnm6xvs
re+yur7VEciFJ8Cf0xm0YHxoBjoW2nUdSNcVYV5G+66hw9unH3B9Dlr3kfLV4ke6ribLuq7QsVH7
5rrWWOuq063rz7KuROm6JgGvUw85caZTFdssWVMnyldK3Hucd6WHM2YEdNv1iT90tvuRFditm4ga
PNXOnWtC5y5cDP7tOw4g9qcNoGVHAKYLB6qQr/zbyn3f0kmg1bOJ4RholM+tj8mcGglAMJIKLB4P
kj0ydL0c078O7G0MUYbwN7Xgf0tfiw1BaTBejuFSOZnrk16xUFIcD0Sw7k3kgbXRi7Jjtci4eQVT
IXBiWXnToewaebevY/zyJ71Q4wlpITXFpu/cod/i/cbOA2HbqyjgZSq+can9iQNvntp4Wy4Ww7+J
gIwKcdAu14xNBtEGBsq9AXf67MaT9YAVAFGT9PpWZKZ2k/h6aOBcIOLs6PKET68IjYFxlOHKrDEl
/aRusx0D1yvsFlTzkijbviw4AQ3Z0heEXQb1bSmK1PCXpNJYW2bm2DxiWqudBNLeLe9aPpeqfaCg
DJxvlhF3kMyuOr3aS8tVw8zpnrvhZC90w8WReiZX3JwZx6obvVMinzMq+oNI134dAq9aNDNU9GJU
mhrnu2HCPVGH7EcDvjREGfwEvdP6rsC86s06+kY7XuqOd9SW4mfq/CzwqB5ncIesN7Azho5twFiF
1syh8C2pHwja3LIa/Aw1gFctgp+QgKwk0IGDpSfbfweg0t4X2P38NDVwOyg3pDT2vJTkLYXYtJcu
zWcBHXj9juJNNjfGRiTjle38edGa9Nsyx+Qge1IBY1Evdxm2ReIWdffCXGcOMjw9316trb0YaDOG
L0WnIgF7qRP/n9nH/7/nPc3Nr7//7eOrTFnhZSfSz+6P9zWd1MO/u+P9Lwyd5b/+B/9xuYOXSggR
oYkBJj0b/wRZdcjfmo5tmqqp/7HzTHd+4zrIcufY/McE47hjyrrvkr//TYcxR0yUbR3EuIWfQ/sv
hXC1dWbwj+idayInevwkSHKeQwfu78OiPxwT4DyOKlKXQU0sKJYNYjYQol6LjGynwl6rAP8vxdVN
4Q75nme4lT/Ec4d3GaRV6SedM8iNsFRHYKjrNDIt6mJtjNLq6/2k0Be7Y2FU9i70na2uaeavGWkF
9BAt3kfTKnoM3D0V5cS20gMMsm1GI87VTCv9wZMUksb6DOca/9dpgtR2kHE0nXvdfHTNRvJG4q1V
4VtQMqpTXCEZgyPNZECLtiTSjggePtC7PgCOvWBgR4XVOzI5i3Dr0Jk58Zh5v0ay6BiqW+8csUZe
SOLEEFYT/HNpegdMwg0yhbH3ghoX1pbx1XAtJw4sP6syd3d5k5JWltDJ+ymaD1lTdw+L541HWiKS
L6+1sdDOGjYkrftwJsXdE70WIUFUMxg9fqabwtsaHO3StRNo694K1WmmRD1TLnYLWClbfnooHEps
BF0ZvU6tcde1xcl0sqCb+yN64o6lr0pAeCmfkMzHkK34C5FjJ02IVLk9g2hgPKmPBsUYa9wROPOW
TnOcCTHyO0rRa5FY07ZznDc7U08Z6/nGdQICucJP+6ndejHMHJIPQDJGJvvYVI9lWdMHR7PBpGBS
7IvumouGs/gyrTY4CkT2CPo/51EpAnq41YfFsPX7uV+FCeSBH6XUS8o27SH+1NfiXm5q/Ak9tjqC
MeanEEwQCqrG7ssyJo0z2fO3wIy86c0UAlotp+Uub8rxJJL8Xl2XSFOMOJbWlVNb19ByXU2R/7qv
Zl1qKfm+aa13zPtu3W21nM1VEcY9wjyIMZbtfF2/R3u5uSzoOQu7Eo/OdSnT8WANRXqXtuSdQDFE
+tUbMKql1vxZWKT+XKX4QafScJaOTZE3OMLNgI51c5ze2jpNmzHOdTGG2ehfWTNuq8lYfIyh812X
O/eaYlq3jtu0dnIcSBw+Vn22xGpW2B5LMy/7sPt971SKkeZThDD21Gzglw0KLA8QTezewwkCvZ2a
ht/3ZDh5tIQpiFY34bIJbzKjlEMwpAaGscKmKcTvB7L2m0adEFilAygxgNqE183R6sgJIhr9+m2c
aespQqnopEUy5HShmGnZ7XvN49SR6LksiYOZafOqwIRLU95nt1sw/4CX2Dhq7UISdiuqB+h0mPdu
lYv5jqtoQXkW2FTY4JUQ7mOptzSrwvdXaurW08Xj52Yeb4BMYBTHOj4o5gNRZaI5eJCdZy+ucU8P
BJB2iWHPOmUlHKC3na6mSRiViiu/anq9S/Rbl94LzmQ1+HUuYz+wic2vFbeKo9dl0VXEwmXrJELU
bux5Suo9QjkOTJ1Sxcq3s4mTA525sRU4ecGH5aBDiMHccrGOn7Fe8oZ0Lq9CyjgCtn/5CBWt+zVG
a3iEjgG6sqkk1fKrXWdlFi49065t2XH+vyT0CM/EEJpkt8Y7u5VGh/yh2u5iBMxBGuxLfeJoB7sV
Hf2oAjZ/6Dk5fhO9dIn7mYO2fFTUJ2CH6ZMbsE+iMfArCUk0xFq1cuAXbRIyqHM0CWvTgr3m2HCE
Yav/yO00Wckd3ccIrdKEkzy1576WPZM5d8kO5WQvHy4MdpDTSC22fMo65ynppje3Ypoiq3Z+dy2s
4UueFA9GprHspbENLKTqHrFvMMYapPse69gqN0ZnLj80dfka7T4KhNpXL5EiVrMINhsAV3gjujv7
f7N3JstxI2m2fpVa3R3SAHeMdttqEXMwgjMpUtzAKFHCPA8O+NPfD5S6SlJ2pW5t2nrRqzRZigoG
EOH4h3O+w7+Lm45tpSM5QtVYnHv8I0TAGCFXdJyJv3Ej/Hur3Dea67klv9mIJ1THkap7cjY9aJNb
UZa5OnFqfxhRXJMPHDf9fVp4ubzDHEoYOxlR/mYaOveEtAse4EyRNN05mEz0IbcbJl1wv4jC8qz4
jWwsy1mphBXIQnRKHgjK6seXiDjAFhnD5OlFKoQ5sXmP6sxgH6np04QNwV+5fJatlU+jAc2y1jsr
7FJQwd14Q6OfXNtGGa1HYKWXvhxu5wwLdhi76a3vEiLR5bp8NLTpnY0gnz52k0MOiWHCERxR5j50
Op9v57At8hsC5KtPJXylA2Y3dQzHwiOBbfCLVzdMrFuA0EukUh9cTz2p6qveSv1PkfAHdLMZdtaW
3CkX6ukQQlbtpf/Vz3VzrueBDL94VEhpg8pD82A0Hv2WMbc4oNw43nqsA/OvOAPJJiQZwbzKRtYi
FZ3lU6GY4CFwFd4uYNWQny3A35wKc7xdDD4PFTozOGiZKr8Iz6++jp6hntGFDvWGER/sRocVPjzp
Ho14Munm2qgSeRnlnVFc5lltPxipbAr61cnPDplV2bijE2NMt6DPfKh+EbpSgOnk79Ug9S5cK7Pf
KqMdb1Ef+Q9mVeZnuv3EOrV96D3mreW86IEnSDK/ywuKOXp2R8O8FeSqlfCA8umymuW48QX4+VAF
gNMixzrFkeiPI9788d1ntHEGZRqcEVWb7fwWcdVaE4cMdifQHcNny7hic4VvcIq6ZgCLlev2sjCS
CsRhVJSKU7LJ51VrogMbTD3n2ziHh9n104CnScrOuW1TUsTpnPnQERkvx20xjqEEwBR46UWAk0sf
/XDow6NB3GJ7MN/56UgD3fJ2dIQxXztuGItbw5xh86D1hb1uhAuHvZMoAsgo4q2T8rGw2gsjA1Wd
+FDi91ELC/KclKzKmTKCebfeie92rR2mDWmqQTW9U+HrbgGI4bld6ZQB8V3YJE79AQvHekI9CE8X
twMkGnNLBgo6jBgvB0io8TLzLIgnfRM8hFNBzD2VC7x6wARIvpvkQFSJJP0UsH29IO55nhXXcsHe
+x6rhHFB4QfzWOUbcp30uQttxIVlJ41Tgqa+WdffaPrd2H5msA2Glg0t5QPc/W5WyYYwLIyfIPlb
JkfbHlw7PLPFs2oNzalIk+gx7VByZwj+0OTWbvSAfxfeP9VNyR0mBEC/5wG079kArGbICUAAQWaA
rntH0g3Hdn8j6Miv/c6Tl/kSNWCrJXUAHSEJBNW3NIL+PZlgCSmAtyYfZ2tEeFfNMzapYB6G+0mm
qj6SagBYTejojccch2XYKkiSI1z/6JAnJiJL+o/X2ioYlhD6eqPt6qbxrGnfJQPh68ESP1tqB5Z9
7W/KwTk1GhcBseokeWDcXQEWPinD0a88MNL7yBP5W422Z99kjYUJSBrZ0erbkH227TVvUVRSgiH8
RROJVh6nCg+oeoqZe9tJm1p069LeNdIzMd9LHgR7NVG2XzpxH+y7SomA9KtJXxN70zJzm6vPdTd/
7smRIi3RSpB5EuvjNLtB5kG4sfIi/a364Tcdzy+bX6RtgJOrfjraiNPgzjpde1ESWvnwQw94862F
+hE49PPW7FtjBVWHVa2A9y2cXzQWoy7KKgwNdfSmFhAuqsF03cxMBH6jSPhZSLK8znJ/LQQJJh0h
f/x5O0c4g+iBTwxHPZTDa7o84YnGpSOIZh8vxmRkyZd81DiFbEyh/m9eXSxX6+f+0YKXLD02kWic
YNr//PIJWEGjbmV/tNuk3hGd198Lv3B39lIcjKrLb/1GNjtY1vPHbK5IqqCaGM3gQVNd2O9lBnNw
0vGoalzqfj3dTB6sXFc2E0M4IJf1KtW9V68MSEHXXdtyVFUIMdEsYWWAcfFtm/0vuSV/fkN0wibL
dS6szzZ2ud4/NMRa2jFS/6E+6qTrCGwj3Q9NepUQZTQAveQZH+W+/A2d6s8vKpnT2iAtqEwZEv7y
mWzDMLJZSna8aKTPzF6ppfuPwAIuEm9uXv/6k/mz/mP5xPBiaB54g/xLIJl+fodRIEWJd6A/Kp0Y
W6cVJKkYu8Kc+t+8qz9/BSQfS4ednceQQzrL///hUgoUxDX6t/KYDAV56LZVA7qLSssZfrPteFdr
/PwphFVk00UughbT8X65aaR72qmDi/jY2xarpIGSIhymmBgVItxgbggpuj16ePq8OlbddYbb377x
LWfNgyh+A8dC9VdbOBL6dgj1AXwi9WH7Xiv+9cX/0zWBQcZHC1yUxWVxFibbj9ckMuyobysyq7I4
Nr1j7Q/9DZ5imqV/+3UkX/tvSQWOfF/q/3Dt3SbuQFoO8bEMaQZY52LD30So5L+hw/53KPiboaD1
PTGC+/ev1R+Pff/avmbxrwKQf/7s97QJ6w8mgD5LO0HoEr0O3/9vChDP+8PxpAXbyKIi8vgqf9d/
SOsPGy0Gg0WMWe+CoH+OCP0/+B8+AhAYBYuUyvm3RoTez5vEZSrIo8VCfoJCxUf89qtUMZzrloAl
SAOpU+R7L3cZp9GEs5sLPeeV6HBxaxGfu2rqzCQtjohLkC6zC9raBluqHE+dgw5ZZjYiDw5Tcgzj
+nHQ5aYcR1ZmHvlysdugXQVS/SlOhv5opol0V2kfGck60CXoy9F39NGYCUte+15i0tdZErd+o6+F
xEyRA7o4pOXAb+EOfryMRvCyZOpglHX7hREG63940+EqKBJEJ4HlX5n9kJwxRSDXEKTzGt7Q7ApB
ujnPyWTb9al/SiV2qwDCxJo5mbGPUxm8pYWLE95pZuACFJ7MNwfz3oNDfp3VLq4m5DibQuJv4Hmr
9IVhJWIDLZ34XO2Vggi1qEpWsWhfwarxi6qIbEdgSnCyo3HOFIvVUaw4Iv1blafRxsWwcTMy7/xk
FnlzZWfm2dbuSx9g2GSWB+kUeMOcn8eReGRnvsUCS2SdPdyQnHgJC7jdTLbXo7JM9uwQ2yOO8Inw
cZrcHMdyURMINSnCorPQfejJNGGFlEPp2Vh2ciuq9NRmEwQEv7A3IYxvEhIqf9jRNQTARAMMTTik
RPUKdXm+nHFkvQTp5BxT7dc3urPArGq0pg+5nTYXbTp3h8lF3z3FcQ4oq5fRZkauz9xlCeNwi8k7
jF3jHfJoGB9H6UDcqSMnK1aTZtolDetser5xrASzzk72IREZDhUNn7SOCD3lPancFadSAL1hF8yK
yeWKbEO7SN4SV7VbYC+LvaKiVq2cuGTA7ZQvtEnutVdhLcgtM/3U1tXH3p+9j4AXvb1XlNldgSbp
Bti3+4EqIF/VDFzpJhvvzBI0QnXgxhtk42cCs6LzCDtk1zbSOASmwvgf2eLWM3Jc7hMqnxoENZ9o
Z5mfWeFwRdxEdplPNlkmeSYmUkUL6zyjRZhXjpV6H3oPJvYa80F85Dk6309JNB0L1Vk3Akm5vY2c
enyVjq9woWKiI+oqRduk+xdVhOocQtc/UOvIh87EW8R2t1Ks9tL2JQf+3DIygne5Bq7gNFcBHJxp
FaqCCY1tIW/3UIhvM6kI6g2VX5OVmU2s2w1epnRcdTO6bvHBpsdWq87gVkDi8eJtFwnou+UoSegm
fWEtuxG5SirCrZGY/jXHBVvILBHJFWjNAJq/nd+oXvfn0Q3Mm8ka2ZkKxvr3UC+tCzvrO6DjjVV9
RsYZXZs4hsgnsVKxG9umIynSw/YuLc84ET5JfqKyAOTwomV6LbQsL8MlEZ1UwWHbh1O57XMr3wAf
mA6epwhR75c8dX9JVvc9BCPxkrY+1j04fAajZLK/x7EHLsnsIg0FgKjZPVsxue3me4K7FP25NEl1
j8lBeXFq2PUQlWEFr8X8WL8HwTtLJrzVFuKTteTEh6ohGGVu2nuHUcYmWfLkkyVZHlUa3615yZsP
o1zd+ksGPeZ/tSSQk0xf44WFve9uLa8/GI3ZHjwgWUiOQvMQLNn2vWc0N5YbFDe4AZwPjeGqDybq
sC9KgspnMF8RFKd9496bB3GNftT5YIUYn9ZWrdBtKIxzSe+lJ9L4+EiXUn4ts9DfVJaqP6CctzZG
PbUfEvLJ+VAwSF/leGO20ppd+DkBob5YnJfBrVqPOurWjc3gYmUguWAsWIS7GISXsZK+mo+Y8uU5
KhLCWQsgKX7Q+1tcMhqMSmod03YInmHse7umE8NdE7ThDX8Mlz09kDtlFfsiauMd6+DmCn/3cIW6
r/w0eww2bEsUL6jtgpfAJ3yTah1TwIRnb9JE+2Rs7ZmetMTH+vjbj9CEmq1FSqe9dqj+LnAHDRf1
aDcbJmnt0YZ3clM3U7VOs+SzaCcfd113UccEgHk81Yqweqmlbib2/d5d1CSsfKf56Mde9NCk+fil
7Ey1cVs54ftUJWPxgc3JFowSLDQzB4+IDgadk4EAJVr3razPtWeAg7CZzrdDFYHdxKhN8kt5cFKW
TEXirGz53M7thUNozqVVjYcCg/rKS6JLgiNaLH7QmGZGFHhOmwMCCzIKWqtdWxOxtlt0bQmgIqCQ
+UUme0hB3JOC3ctQMq6PybzN+jQ/Eqa2vBfGYNt2QhISt+0LrQQnMygmNuVKTljuTEfdtx28gcEW
eisa5UAILMY7aSDd3LKIDg6TVSNyQVCK5Wqi6U/vPOTlq7wYuhuz43lWA9w6hIGoP0EDKi6mmsuD
EMd5KMxC8omt7UuCD5mKk+OxgcY3s38S+15qfXDHSe9LgLnP8OPfMh5aeRG+xpPXHRS7EK6Kcegr
bIN2tGbHEB5Zw1bYXwx516FPvbDTyry3kVXCpDTS6ZrpBZYQ0LUDzrMYZgzZP9aOyYZAPmcC5goB
KVqCGCa+H83Z8+vhIEHm8JgZqreCKesB25p3AWhUv7axk61Y5dzAhm0XSamG5FiE99yAgmtKd0xT
ibTOFzPuna6Jr6wIMQh/UZKMM1n72tTVDWxT89wlSfGsRnPcjnFUm2vTGMd6pwQKVeH2k7mizQi+
FoZk5mQYAQEDmY3sQmLwAz+oki06T9feu2VCHwCX686LsgjF7GSPh5J4O5OYFyBaeyMoqzvqi6S8
zCNoAhujyBmxcQys4yMgCe1vABek6jqYpvZCBW1+y+A4+VJw4kAUsV21zqdmGSq6ySNw1XSbUu6u
/cyykAOOSD9FqUkVzzx5KMI4YRuGWpYZLwGUwZJZ44vkYBaJ2A6equ/Iy2AATKIWCz1esDsCJao2
wzRm4A/BHPaUFuuuySIGeGp6U8k0fVW1eIPQ3r54+fjq1iPBzo4dVdeBEbmHQQ/9QXtJAtFSqrMn
l0zg2hxPCzltU4VwZbyOvZECgLjqzEFeyMZ/EFqh4xIq2wr0wJuQPOZN3HnM1OouguzmlLu4G5JT
Cm7jurdCYx9WyiCosej3yrFcXIbooFziW9582cgd39EIYoqW3IaheCDz1r1MpB/dmEXMtA6XLYAJ
hF3oaiAPeRGIt5JH5zoVOt04dg8nWYxBdDFjdtl1HjEALXLbT1Y6TjhV6/CmSEhQMFWFe48jikVp
6lxBD2IhmIdyGzVGxH5PIsZRfgn0kOgcZ6tzdDQOxFR2xInytnFowkzoocJRXSnjWASVffJ81vdW
C7SJDZF1H/ZBvG1r07kcYK4dnNnO9pCPrQ9EbVToYVET4P5WxyQPqxtPsQBfDa4WQKNMI3kGPopV
R2X1nSllv5kE7H42/sAqPI2BgQA6vn+tT3eQuGJrK6afiVX4By/s0ZxFdfmVhaJ/6XZO/jhmZbHH
i29uG7T1B53ZzjFoZntHoqZ5LMfaYscfBjxq5hJH4RKTRj7NdO7M/tYxO1x4NcJdDz6Mn7dPRlht
GmXHV+NsfESQxw4LROujLHPCPpnvb5KKpqV2vW5dC3O6qBlqbpmMEgE22Qk0pY48JHco2FbxwUB1
XvS5uiMfHQ+2rQnRxoTPO5g8jPAgtn/oLP+LeaNYRCk/jOL+3Kf9MkQyfFZ4ihnxgSQuaBzSyTZE
XnvEuPnJTjiwFUG9GY9NIJDSogh5nv2xvhaxjk4+bu6P2JBT0sQo8FdkUEX7eJjrh0kSa206BrQ7
LyPJqQ2Mm3JsRcyXNoESY3MHzHVgU0oYoUiebReUA0VNOa5D0ZewOTx7S8LMyfcT43PkVtFGQrS8
NtK8OyAO+DA0nXXENgycDr3jsxgGNFOWg7itCaoN+la+tJnjXNl5RtYmynFnA1dWI9v1vBcq9WgP
SiZld6Req9G5GXqCgKlQVnPGyhuN7LxxdDzfjkN5DpNMnxNCDqjAmY2uTKslMCUb49jd5VOrObaj
1nkTfYNNehnU8HCHFA2F0rCqJy2KXECs8DOO2Ngdz6HnzUdgufCd+ki4t1XVjdds8VKyQzkOUEBm
4oszmMlbHepxU9uGt1UEydxVwFAgmYJ31KHLbqSaR/eE5tY4OAJcR5fqqlmzr0s06djm9GXspucu
1s2O6X2ys1kB7pypyXc4oMnkqx25kq1OyDF2ILlB5kGeMwBlWg3V2G1JEE6udVbyhCad5SKkf4UD
hKZzJacxueOLHhynYFJHUdkIKokSWlnJ3H2tGdhHJHep6SEuFDvhgXph8amXoHR9y6jOZLCnmBSX
kjt/L79x8RsnnsIU5agdui0XUuxMevl8Zao4vpZLJY9ikbMJx691wTybSh/yPwaQpf6He9+fg6Un
yJbuIF/6hCEfhb1qI8O/7lJlYS4PuodiaTDa916DRF5uULu0IPK9GxmWxqRYWpTivVsJl8ZFIRVZ
Fa4Saz+eA7ziQ2NsI3RPZGgtLQ9UXdofy2vL+tA33oQi0LUu2J8H29mucRu2GR9c8prTNXtA75UM
ILECzYGiqBz7GwhJ6X72saRwiNFv6Ubf14gqN7lR3xkiSQ61wQWTRl3d4Q+x1xUqAZJ6ugmEM6Xw
hTeVzWmMadJsqCbuakiHeh37lGFoNsFgxZFpPSGXcNYDXp2bwFfeh4Z7MK/MpWXMluYxe+8j0WNk
l3HWMymgybTLNF2zyqbzdN+70GBpSGtia/fN0qQOS7s6WC7ZzXSw9dLK4ubhti/tLb/k0ujS8rZL
85svbTBZoNkdphmA90bkfyzt5uNEjNInd2mgEfi413ppqsulvUZNQ6etl6Y7XtrvYGnE5/eeHHAm
EpelUSc+Wpz6pXmflja+f+/o2ScAn17afL00/CmHdBEidu7Zl0I8e58MZMuQYFjGBc4yOBD9EGz+
+kR9H4T/c6rMgWrjkGVgjFEW9D4GqJ9ntR16N5qExtjPvW9flOSr9CL0t5D5gq0Q1OlsNp0b0+6J
BCSRXKydZICoIzzrI2QHmEwgmKK3eRzURZHb88nwrY6hswyeKQyqD9Kvz1CWO4TUgQYQK9Vdizl7
YBNbZ9zTVC5+kjk7mD1N56K4Q0ztRoZ30fkEbm/7md+KjI2Rygqy7muLwrbhmePGKLGWgyx7P9PS
9/NNv5919vu5Fy9HYLAchn99wf6UsfFtUkgxvdiKwdf8MvAPWgAruGH9PQme9/pZPjevxnNzp666
W2xJ5bWR/27K/auNk1e0TBt7g20HHJXeL6+oGLDAeUzC/QiB9RNcTuTaLXkaV9mUaLGmkq5P7Yx+
C+FXFn+yHN1vazvMvmrLmeQK3mS4K1MYQYwdqKi3OpQ8w0VVowIDzWw8YTZyH9B18qgDIaesdWZ7
frYljbs9TE3VnHHWZBduqacjlQznE+OUFTLxu2HSbKopPxk2IAICt93s4FCQDQ+Y4cVVaXjsVJgf
x8bx9/2cG4/ozdozYaXZLVLw6CSgkusTqTr1fRywHrMV5DiyDie1Saek/WBHcjm/CpE/vd/G/7aR
/vJCnyvYFwlMh+7v//H9hTev/etPf9iWfYK9BajUfPeF5Pr+7//xbUu3/M3/3//5ty/v/8pvpvWY
KF3G1v96Uv/wWiT5365e34Yfhbzff+z7kN78QzpsOn3kt2CX7H/G6XjuH8IyUfDyCfTJzPhhTG/J
P9i3IbJdTLsEqy3RKt+VvP4fJskk/JSNMooNDUu//7wA38s9rt2/XFv++kXAibbEkBDewqsJHPY/
n1WMHP0BpXm7ZV2JDr0gzs5oXgqb+MEWoyTjuwsb4eRhWAhHP1yp/6LytJYd74/nJO+KXSJOfsmV
4Zv4y4KAgWs/5Indb4Fo5Meqjz6VSXnfWPWzDIp74ZTjNvRYyXVd8oLyS9/+9eu7iw3251+ApAmX
uCLuCbsSLvTPb34ymNwqbHrAqMkk4wFKDF4fQ/qbODf7wetXOk/FOenAqQ8QC859ZYGoRVCIL3+C
2hX3IJhW5FdOV6PjEz6rJwdOsp7QNqPab1osFEnbYcFLOn+DfWdEMuiC0zuA86IzrL1b8hCd7LIu
qFcb132Q8QIYiQT/oMchxDxDWdd2ZeXmZnC7yygpFqlT1q8r2B+73JU1yL68Iw6BZLcHy2zQ69SF
1LfEHoqz8DvjgfZo4QxXwbWSzPQ8druXVIDlPjGM+TFNGnvbeGQYWOmkQdq7w17MpnMKMthiDs3e
Udu2LTFbGHByl2zi7ICiQ5zhMLsdXKVkUMR8OZU8NaHR1HvgUeE+ShCgtQbZBCRIzv6LvyAlId/X
4k4GVlSvuyLAz9sjvuQJNh/I+OnOPebYg8qauLgtZDR+KcLZpFZY9um0EuXMuVzyo4FQqMAI0wMj
46vivpTdE4WZg4mLwUsg+pNf2icQr/UhgkINo8JP9mljvLg8MS/NwZ6osJAor/KhG2C0o4FMTkQe
TzT7xTRdDXWjuVlZhttpKvY5qdx74Ufg59PGr84lT7FjnE/FQY6xeohklbLRwvZKGw0AtvONrR64
3R0wjte8dE0gojU88MArpn1mBNfF3LDZQiCwy4CNXaKUAZjpOaQeKzitntH5B6sn3pcU98DZTP3A
cD9Rcb3G+0WPnqoQWJKRc/sRie2CobaPEUHWRCWC8kdmpjduP3RPbmT5T8zjzcsaWl47Rc7Jtxq5
6pbPeR8BeWsoYy7l3AYPo7tsl4qhR8ANjFqaU7dxiqB2VlGDmJc72D14QufBQljK7v2oC6zN6LgO
iPc5MJA8ZlVjEYLSJeol9QfJE80l9ohLbILWyrox4dtiKQcwi9aFu5JK2OOuSBJSNEtPfirtsKex
Z+K08ghO2c+lP9+DAvG+6Ei0957qAramnWDaHQ/GS5qI6Yw8wH4guYcxM6vwxruy4ywAozSNVbsJ
RydUO8swYJ4HzlLOgl6OVlPWRCQqZ5H6VM8TRdOYCrGo11vrxfe7ea9pLkg0tsgpCbSbfuqmll1D
wSO0iQbUjYlwQHs2x65MHHjm6qvuwSMW7aR2TKjlVyiz9VtCcXuYIye5bDJ26brts40V1gRqRo0c
r1zgnifTSWq+1JPVP9JgBJ/TUCLHq1y9MZA2Q1pSKl5HHcmAmdkgv0ysrrukHIu3pKVDvUWhCnlb
WVdmpQkB0SMVOcG+X4nqsraK+IG70hj9e2hx1msRaZd8WD3swzjkEk5+94jarNrnY2ee+ykqngmR
aT5UQGofcUbZx7hTGKDquQ9x5o/sFwfGOvuaiHuCBst8wlmOZrT9TLOFyTeWbUQGQZr79qOokkpR
7PbhM1T7fZjO8dcwlCRB27M5aNh+TqUPQgEtW/VJOm+JFt/5cDHnVeDoAt/E0ALHiMyGBHhnml3w
mkbAPhLG1iufNBCoaBNmDiQvgJVvJJzG6KIRl8awBdOdVxMrvJFyYKDsAcE79zVjYk3QJdZfwnAX
YJ7wj2HjWy+O4QQ3Q6tHvNVe+NRJ0YaLb0MZy8wDlUsYjnxtxsRgTOzOAEqZYakTcdfqA4lQvXcM
BZ4xeNaZvrWY33drS8Y8tqJkekWiXF/1bdyJC1ZEAdMAXM1AywQDHS5MOebGfTnI+ksTzuORIJp4
qzyiQbYm/hnWk+OMp81lMP/Mh18vzrtxishMzgK5z8IemwYIJbJtGjUySIVo1XfroW8YL9uqtj5O
OCIxnsUZE2msHjYL7qb/aJSqs7ce2tgngLHmMyMLEtobLT6zP2fNbOsAegDMN5Oo2Gs1ucFbJ3V1
ZTZTkO6l04Mmtlygoutch9V+jqYRW8vkJqeGpXq1JqhVPoTzBANL2XzpV5XdNwfQw/wCRaYzXBax
VuFKIdqFWJylhbHKuqyuOTNpq1axnpN8X5E02a/CyBlIXHelxjKRqdrYF/SLxkoszx1fghjk0QNz
Dy+gR3ryNNaP+NExebRpsOOWlWsFUXVn06ND3AdNCkGHAabZeD2JP+OyPY0lu5OiKsqbJuwGFuB8
HWqDNsfKZuemC2f0y6TQyOsUzfKVZeftOmpEecbrrThNdXwqgkbt42xI0E77borxCapDvgoInL/D
+265G2XqzljZozKXLzoRCgjCxTYyA/8thdXPwJR0Afbn6Li+tjPrTs28sWLPPcEuNUk5XwdVHz9D
CbQZOGAUMrJqL/EH3sTKCu50pqIPVu+kq0owkIZvjAuhjgXcTpJ917EXtGcgxvE1cR58bYVr2I95
1YyfIfVmfGeS1mNZEc3MMWLX1LAhpInh0WkvfR2fyf3a5u3IA5mB2942q5oKQsSw9VN1NeqaH47t
JrsSlWHdAM6TV/aEUHelPCO5m/reXM02SLA4nLe6KAoUcfndYGAoMipiYqnJdokZweKU8rM9Gg52
mvY6mwkHKkA84GeqeT1+cGHBFyxKKpIOdOaKdQEFa2fXUpFklJb+jYqrIF25nSULZFu2gBjm1tWp
ynz/maecchGfZjN1EIXQVwJf9dXc1VN+ZLqo71zgmNgIJGqwlYLkFx1FDBd/JWCbriAxtV+GGfDa
3vaT/jMykXbeYcsgbWhs6/rgjYJhMJNLsWr8PIH0DRHR4WjFk7YKSHBSR0bS8D9UhM6XmKWhvCcM
tjl1cw+Qccxtgpi8yOF5WA/J8NQ7nXhSDeBsL/I1dBFKFRC+7uCQYYMYiOiNxiQ7us68W8Y+6oOF
YIGF1ZhkF5Ev8XL2gupr23Zm9dhERcd6D5QoCE38ADdNV+srcsjHQ1t69kNqhMHBFCK9lpHrP09d
1sKftAayH8gdn2oAlwk8pQwKKTePA7xeRwGBtavGydovQSaw0IyMOJklYmG/d5D1MYzqJsG+H46z
czCniu7UCOJuO+McO8dpUX/t2VJwxKdAo5b7grg1hHlKyItrc4glo3K6c9uoXF2Xhc1AnDkelsIc
ETsxu5Exh9eROTHqTyOLu17PmguUZgERwxkFsbNz5ljcj4QPGRdD6EXmNh2FGC8Ctxn9nWVlFB1V
HlwMo5f7lD3mRAXsgsGwWEnAZk0BFQR0ZQ+1VuLJi033iS91Ol5gb5In+HDTWXPoZBzpmfc4I08s
TxMY34Z4B9UQDTcFjgS1GLSUrPVUnzRC4VcfNt20CQ30PJidKKO2Cl4w9BA6h3HXm+7Qgk/k63oR
Y196yvMx/dDC9E/OOu5d/+hgOT/mVYuOpm2ML6aVhhdZaC0WM54qxxkXDNkpfpw+S2VDg0kyo3/i
bmNztnRKWEyB3NbhMD+EXS7YYUUthU7Yn4F45qhLwgojJ299O/NLDOvJtaerenRyoIJxFGIbozwa
8OE0zkNvCowZv+kHf5Y4ohGjHXRNE6Gpw2zGNH+ZyRBKJgpWR8tqhDxVQ9flmTefn/6663vvaH/t
OgEj0fGZvA6Ii5+bPoato1DaJjM86unJxgGHiYcQyT/Y8UJTzEY4Nozoyvit5PEA4B9YPLqbMQcn
P83OcTbK4ezWRX+XIQy9XFpYEtJNcYUsZH4WgkKdzOYIbwbPpf4GUW0V7t7fxH/bqOXHScvf91+q
q9fiS/c+cPnHAObbyOUff/yfMY9BphtA1vvX85iL16IY/vZ/Xov6//7t9MruNWl/HMx8//lvgxnG
L2T6SqaAchk+MAH4h3oSfhZtt83Q3eU/7hJC+Z/6SSBZjCvQVEqP6d27+/r7YEaKPxj2CYRAqOpN
17X/LYu1vQyafphOkIViezaK8l+noYxFImsYOpJPeJavDKDr1gpxAb35kIwQWTJAzgGIHiLkDBWz
runsbGsaTXOaCVI84vdhYhh7zhVqhHhjzpO3ydFpHHJZFVsWHlGxro3IqnaDQ/waoFfirULZrZqq
n48F5LJV3sXz0xTk3d7rY3PbNWZ8qIq2ubYGkT1FnKuA7qt4X1igtlkaZqcgCoJjqTECyaQstkUZ
txdFAg9EMOB+xcbtnjxcXskmhIgzbrpKOhs/tUmZB5izG+cxX8FZgCiqIpneV03ZS8opyz/rAcjT
Oq6m/gs9bgc8HsbEQ18a1V0/o207NTz3II764lwj2tmFfhXu59h+gxiJeZtHGFvJElY2wCO6mFBA
DK9iN8SImxFfxCL/1KRjvZm6Un80MqxhlGfyYIWZc5F58fwwZEjhTl3UhXId5HFXUZ6jNKEILpzL
Elsyoswl6h1/zslJvfqTnYFc6Lva2PgYw9dp38hN0Jntlyotsye6y/qJ4chwMO1aPENpmTxEsXF5
kRSS7jMPBmRbfdJ+HjDaXUiWLGIfMzpGtBF3zlEZI1pVhKfGg2EU3nRJSEDIzw158HW20Ljkkwac
neRGe3IheL8adZI5K5rtYG0Ufb8FVWNuSIngX0nqmLNvkG2/7drJgLIsBaGOrrXRuUsmyPI30e/O
GRlog6BKGoqvjeIubAS6ow+I5xFV+AFPgkeWEBydxQjcG7A2Yof/R9157MiubEn2V/oH+EAtpqFV
anUyJ0Sq41RO0t2pv75WVD2gXvWggJoUuicXuDj35M2MjHD63ma2DEKTRN/2y1jcXWGex0Sq7D5w
pYt1TF9h5i2hHl42TItr1WfzfUpIf2Uo9dv6fEn3XvMtftKRChctsDqbfLOiPwqv07SlKY7WmCWq
XOiFkuIcKlQYcpz079yGfE/sloJqOzhZYq0d3ioZXkTlPkahST8Tu6conBU9/6C+hVtpHlBlkcxc
RREar2pvZzZ21OgHSsoqTVVC6+Q7GriKtesu+WPuV1SSqZaMTNq0mIBzMCNB42AUqLTuYO2Oi/FQ
+aq+PxRwiX/SwJo/F5qKXjz+t8GGq7L3107GmI+0CAiGE/phjRh5MYAvNoU0StAY0Q0grOrY2yCg
tSSHKxdoP9OWf0gCSTbVtaLYv6efr803/qAxXs3FdexSxBiA5Mc6eKIHqwRe0lpcvLlV1u4W7EeM
FRILz+84qwYBPYft20l0H/YbNTcTy06Dk0OWzIAfTigYmaZvOH7+kTa/4NuHxH0gA9c9sk5qL1Mv
ys3iKP+eFyWhDi9up9cJxtonK9f8KENdHts57fba7akkqULCpRH9EU9YYRj8vAXw9FqOyB28mECy
nAKW7iZAIkDCCtlsbUfUqSvaXDzh+Oo37tAmv9ptnJK9GIQ6As3ZF7jv8UukxbALGaVv6Uob79HH
rFM3B/KeaHjQXbteuN0Af/Y/LD17rHcjT9YrudjNhYiwvRmhz33wReShyGyqHIiyr0c/oU/m2nAG
8eiyUBeyjnsdbPMhri7d7AUfsS+iAi8zcH/KGxS1gSlWxzbi7AG1Xw7Mkaji68ENgqOMveYEZrit
NlhW+K11kZteuCNMhznM422mpU2lfBunl4BGETZ9FjS5lcKU0255dezPoPWTl/C62bCNSfADVA/4
U8a1mDDXDX5c7wIrnoktBn37HAZDcpYtHXPC9/Pvxs38E/I+gOuht/eez/AzFF6+DQCTYwFuyoOb
M4BVQcb2RgHj4aOutzRdeBD+ymijOt86hWLy39kMED/NM1/vg5F1NRbI/JYG7uVGEiC6SwzKeEZh
ycZutHkMOOfvlRjSTU2AZVoPfclKbsz8e+p1ymfHWNmvE9VJBn+epsYeHeXMGrY4IFjQBVcH477m
zn9qkyw4+FyZG0xjZlKblq3cjQgkRivHG5cvYeFbBs6UP0oaAI7Axh+wAyd0OBd8ZleUSrvvPLcT
8Ip0J7LInMOHxSYEQMCe6L1KQOTFnZnrO3aR02sxNdlfLvnisS9w47rtBADCssfkS4yksy2jfRx4
GPJHxtO3PqddabKXGIF0lgff75aIljHH2tXEI0hLDmP0ICcvouJtYf3sLeNl0JYPriOLXAZdJz0R
9WvQvcV4TND+d1RUesfOGthaBk7X7SK8L49BBCojB6viEBrN9K8deDlVRNGwfFpcea9K+ILHwC6b
gMapabpk0KzWYk6tFasF/7LEcnh3jSh2XMF7rO4S5TmRzfWMjzMqxlLS3QBX6pNilLpdAHsiQiTK
/fUoSbjFyzFtSwPRa23HWEVUH5tvDMKEsJcae/WorNMC9upXxhzJjWOGJy14DK0oyyn3HgPtCdx2
+cmAynxdX93Z6Ks2VQGVzncYFby10KFHP7Lv8zRoo/4cjY5DAxSu2MSy+33rFfl+9htOOou/c8wR
aC9U5Ez3RZyFe9ovi5MJY8Wr2amXdKz1mvIKdy3qOT2UU2Mex0ADc4vT6NkUybXIb/TY+9P5SuFA
fo6t8Dajz/JoBouGqgWnHhvpMMJg4oqv/91r/P+DiqmTEBz6727oN58/2fz5f+7158+vyf7L5fw/
/uo/VVP3H3EQE1VCILXhAMVod/+MNvlXMhLKqB/Hbuy4XJv/k23L2xGeZOL7oJmj62j3z7u5S1KK
u3mC1hoRbKCD538imqINXqfEf50iCUKGAKVdl/oA38Y58l+nyJyVNPbwxeymqs8oi9Qi2ztGZ3dA
VOzXLOict5g8fYWKGlUXALijc4rrtjtiry2eat/N77Sij5vt7ez/BHlJsrXukhYvKJ4wMhh9n73S
xJvOTABN/DqkBUNp67qbyWI/Z+zqUfne9BJRprTusn64w1v0uhTc41ZtPeISbeWzWOoaUD3rS00T
/MHlHnEKwbYctZD9vaQ4l3hMFGBWB3Ao27XKrIXl0UxFIBkGe0130XKObWcE9dbH80PSp8O8KvKw
ak6uVo+w2+XyOCRc549htsinlkNh2NDtNjxREy+T0+KPDnt9u/KpFfXdbDi6ooIt4cES/6EStqe3
il5TMP5UAXWXfqqT5ISMF0VbOipc/QBku/3xNYWze0GF2UBNgkh+GhTXr+VqITu4dL/KLU/zkn3S
aLFPTPAZbywIDvIuAPk3nhYrGP4CcOiaW0Rb9VG5vfPchO61ISGNHyhgDqiILeh78zyeM1bW2nta
ssIv7iF427wQz8JKpVoB872uSFcZJvNNOOhm5xTCz9ep46OOJ7P97Jsmf+8rX/wgSEIRsE10KyNw
EVsTK4TubBTkBmQ7niPH7fa1ICSzKgONyjgo31l3rFsYvxTl4ipvl0NwlV6E04mLV1my/EAMCx9J
/lvUe9m1fbJ0TKzZqtx1t7CXW7VsrDHreyz12577dyWwZvUePYiBX1L6i6oRnSxqGy54K797ybsF
C1mJdikbnga5KJ5i04mVma+uxoqfu4/TEGzH4iBG+VPzaTfXnEveo3RVMn7DVcib3LFN6X1kbYSB
vK2GddRPX57TMLOIwToQ7cIEBxhrbxPJzjYddMRz2MnH61mObKmzCw/j4AG7Q/KudZXfCDqC6SOc
l2wPXzP+JgkT0jdlW9WfQU89I50bTN0qJNfE8sZ3JTQpaFZUbhUViQvMiEV7MjVkqCheIIrMXFku
Y0pTE6brx7gglJ03jq/2fkFJd+slRM384V37EQTGlk39mtt5QKpnMGW8Y6SMvQOl18snXTZ99kZc
MMspPCbxTcku+CvQzhadzDbjMqvvfgEr0kibBLNDu4hYMfJmfwx+c2xWjuiaXeNFA5oE4B66V0pW
hjxNiRAiVYQuKUcLzd+AfY1WbajDdw8qJYzqWEQWeprs/Tff85V1i1qR6V0eEK/ZMcpQowbdyZ3X
ZTh6wW6cp9nG8sMvmv1+TXhs5bminm59Kt56Mk7xSEsOdUbyCfnBrx+zeARQMkepM76xuEeCsqOq
nHbwzeJmjQBtg7WfE+jLrEWbQ5fl3TNkl+CIt0WoJ2iac7zNrS4pfkcqYi4Dtio+2EELwBu8bfWq
+UZdiJtF+VuNpAC3XooFYtWWivu3CKKreobCj4ocWyyDa3ByNMMvFRSvQq1l6I1iy/6gNEfemcz1
LRsFDHTaf9BDXt/WdRD8hNZUuwd2Pkl+6hExvqhU0JTcZ6XapADLhhU7u5xDYnJfyDg4LyQoF2gd
JR1zDFriENitQkqMW7z9QU6mZXGSgPaFgCbUVZmxioWM3GHlxmupmjU/otw4OehP/pAFy6qayhof
a63H94Hx7WYog/qtiVB6VmMwzrf96JYnACwoPogHE+qnK0A8E9Y7hE433lBjl9wzJrKRjYss2RVW
OD0EE6w5Hx/uIyNhxmCC3IMDuUbKTpWbAAmuJucI0jE/d914XZJo9ezUrveGrQ8VXCOuLnUSHimw
FggBPCLldrJs+2sS1Dmz5ZyKKxlHkDnh9ra35z65wKRDhobxx/q/kew5/Lq9s7qm/7S5WH4QqvJf
TXZNYPYD10k9pI88LfN4r5zIPDfYSb5Ul/s/pDTH51HLcYci8pRwLE2rEWHWbLOheSqwYxQrs2Tt
SamSkzd2InFwJFsTEGRcTuu6YDntd+TjKCFAbojBUtAUU4XvgrCq2vSmNmeIdfHfZACRU+f0ethp
Yh+KrpMfuOjILzSB7Y7oHL23paU13kBSbg5SDg35JoSswCgae1mAOcVuxuXK4Sqc37bJrQvd6V62
RuR22suMsabdGL2gq1TjVQ2eYM+QW8SB0fr9QPUDHZTApWKqIWcotQjMlo+HfPZuClUmd7VmC8Xq
KP7m0awvSyIMYPqA0Ri4CX3QUymQFyRjgGKwewy8ST8Sb+HfOxY4d3wv3YccE/u1dEw4rtD7l0f3
WmWUs1bqNmkIyjAqfnFeVC/hNZ4wpjLvbvnt1e/2Yi+bKegoVNNdgOPELwgmtD/4jJb7LFniW24u
E3NSLf/MDkKnSqxr/qeBpU4PpAZH2wx83qLJ2zh2Hj7YFO/RY90n84MDcbt9qk1lnVy/0R+uU/MG
E35P/UraKET9EY40oODQdF+IMP4HxMXhYaowZx5ZfpV/Gvw84g6tEJyaXfj1VzOa7jv1KuiLBgnJ
OhnUWAhc2L4LHOxD9AQxCgnXC6ro1BITzFYp2XKmyIwheM1X4zCzrSga6CbPa1qIFX+Ibh48+IVL
K/FoOJn55TosLEzdbbsOczlNjYHctFzM1KoNJiaNZez+Bk3SUCs58O+2l/V/g7EbjtXIAgS5MjoF
Vt4+lE1DMaQBu5GR8RmKl6pW9T5T0pxzwjF7O0zDU6IjvpCjc0DoTgVmJQnpQ1lTBwaqPyJNg6SY
8Yf0CHXJQRfSFLt29pZPldQFNq3Jmz/z2Uq/OzORjzBmgH0pYv+Ka5/IDdw7VqDP/OIVxlT+OtWC
EjzvSka4aBXtAY9cTLMNeWAXWGQeU5fX9NXCm9VKxd5NiuYjKXvJ582jCniyFjqFUgQRtkeqfa+b
q3Mon3X9iToenH36Pj89VtUYr3SvueBZ6VngAwpWrROUEGzgeDHeLfO6QLh+62Khvlm40CbtNeyn
8ywYrFXSN+Fj1szTRZu2fm6Snu9N6waYdQwabD22uTnWahHe1iWZdc+pP2+0jkCwcdnBIkdDmnhJ
qWfg3Bk5Jo0LrpkqGOL2mirxkiQgrL21N83qI84LHjUxoK07sFuBv2n7qf/sugbuYlbAg5aqLO88
ekv9VTRKB4F8RqpiFcaqlVRk768NqNIXsXTJM2vKMl4zCSy3+ZzZ2ILgcWymaPKRnIMheyqnHsHV
p/6SHboX/3TcLTuiafac7gxPZtqO5uCUQflFZpZdTNX91Y/A3pk+V8FrdrDzZNgHHTZDdgA6emDV
ZZF4IsP4FPLUIVQk+tds6fInb3ZRwXGWlKssUOahcrtg2OEQDwxXEkBe3OyHEGrYIMInYtM5lgYq
EFGUS2hfnqL2Vkzeo2o5qA+hRxXDinVQuA2GwPrhxMNYU5lw585x8UvhX4s9LAtekgmGMC4FK3y0
KX79aJYCxGCSQW0IlUsL5Th3yQlGf/ResqO4l7a2vppYFk/2nGkagE0nz/UwR38h4ebthRBwQxOl
CeQPG6rudRmn+UD52XCOWuijGx8xtgDRPBQ1tD49z5uc9iSKWJUMD7MqrJdQIJluK9Oavd1RcC8z
jaFyzkFYqqAFyDbTB0VIAKKJDas/W/sV6MMlphS2yQrqHqIZ19AGZYlkq9O0eD5JMG0skWtcVSI/
A2Wzj47s/0w2OdgULMNmyRFGc4IHH2ljX4epsD1NmRcfc91y8vjCfyAj12GKclnm5POIZMvhBZog
e6XCKya94bKR7ICNuSb521Aba0JPHyeRiq2Ku2rnAy/cg1knC57P6S+gcXOHyYHzD/cdwd+J6dDq
kDZkl+1Hrgj+xqWQ6VaA/LufiFUcVdHSc412eXDMWJ6ViPrvsezaB0h9abyGhD9wd4maZ+waYhfG
I5nYKhEfXGfMukmyx7zmaMYvyW16iTDwqJIOwKFJz21AYJo2hSuvrjeX3hU8qS1KQsZ8/GZ66I5O
E7M740mMYl6P3U+panvcFmMVUwqRxR+FcoE51SrsTiNvEECksz5r5XZcFkt4daYcPpdY/Sytxd2q
8tPr45RprM3omA/hR5BtdBd2P0LsSC0w1eazZ98keVBT88JOSWGFw0QwuDsA6uFDJ20qRRQZ0XOo
yu5iI4Qg67aq2MSBtinDDchRwxGF2Z0+87Z/CH1xHqaeTtORXXeEghAH1cJ2lwIlA2Z9xa+Tys5S
FAxuS5HdZBaG/HUx99Vr403Zmy1gOzJ9hj0PWPUS4u75zFuKywk44qaww664mRdMcqE7+scmxS6+
x4Tpc7xhy30nagInxOCNwbW1T82VqeqBYqh7ZAebcCZ7ak32hcTbH7Zzw1e7mBsJLuNsqkJuFAbr
hSPGE19uktpsMCeySrSR7qDOxzdc9EgMkJC6JYHeP8mM/7cXq2AjGJV3qhLkQ3xtscJepHvbhNH4
TNJz2MymRKfrK6t7V2kcnDrHHbY1INIVy3HzFddYXKskms4B/tgn7FwQS+PO3o3wYih2C/0dcI7w
LYa1WpLaFQLkrB4gk3Ibua94N6otIEryq03vyK3CZIxdpOxrkhZuRMnv6NAyEjK1MQ1bXvvR0ZlM
nSStf3+jKu2i50hMbJwdOJ9MJh3hw46nyY92rREvciUp+1vy+mMSZK5WvedWKfoS5ez3kujQa5oP
DdfvUt5ji3Q/rg1jdxQYOD+muNI6IahIvCf8Ho49080uhGxgr6Jlyl9LNY0B3mQghE9ta+qa4nMV
b1sRdi2JUbX8GbI2OEZsgI7QRUm4FpNX30MYdsPDdUHyKQLL2YLkiDDzDRM0aM/veIZ1dWc9OQbT
XzcOPtGtnpBHFXWfLj5MuAmOPLhB/qGLJjt7FN7g3boqNPbInoW5rqJsOm2CZxXN3QHB03NvxIQv
co2htNBb18Ca2XfE6K2dh4pD3G6UdfxKst+19y1PTczDaXW9MorLOLY7gicFL0SX0D+MjrzgEcHO
/hdIMIySxU/f7ElGGMRmL+35z6LiT17n+sQGp8byWShKh1irVycrgjf8PKbd8lR3zhBe5ERC5Nxk
UzltSGGy8R6tcQ2Lkg+5B2NFKrrWFeMbOoZN4fq85Pa4hlJOK1Nj9AeEy6XZjSPsg1KYcc1oZj0j
rMQXK1zMmiukh5reDB985HJ9y5Ef+mfVy+IOgrn/XRV9/MZmBvWd5xE36TbY1zS93wZJq759LbDR
Yzv1LpPqnZ2TZNVPQaNxelBxkbMZz3SpWYh7IHAwJEPTdaiJyRHiXJgcYUvIewP1brwpSrCTjIU9
DqW8UgY1dWpprOdcJ+LWomPRwGMa9GcEfNxfCK583E2Rzdc+cIlObZjEih1+s5h2qmiwN7oMumjt
67b/4xGM5apsGgjbuamqZwhLNL+lbCzv4N5SrZJLsunrTPLGXPGcLsOTCqT/KSwovrrPBOFA7Kbc
cHhE0QaEz9nP5HQakzb8opSifQulE/9ZwrqeENgy676JaX5ZG5861fXomRlfL0b2HdlATYMPgX4c
g2W1TufeMN7RqAxzEx8oUiyhxQ9fze0eml94W6V17DN0oSLsuqiPNkFO51DI/gNjrovfICTWS7SC
O8+fwiDF7B3credChd69pAjvUMmuWfEO9ipc0JU6YHCAXJNpZg9Mh4LGcUeH9QV0iHBXRkk+JNJD
Z90OsoHUkboS3WU1dqlsjzR4pCTIpVPsS1LJJOqqdHoHZBMt/CSxee3nCOsW5ChsYxRh48Vzy45k
XpTMLNCGkltyX2XOc0wLyLD1uzjknlAK7xyaAa+mCIbi06Wpgb1FTiZlNwvHthDT/U6fkqhf3gBU
MXTx9gzjTUkOPKDp057Enxypei9rNzyxEIlyKPpevWdbW/3USroQm2fccRWEdLKBJtLhXd6L7hWw
dfGmRhssQj+ncDZG9BtI0LTTour5vYNvlrcK6inpQKptYwUDdRDJM2YbpvnJ5fiZQ6f4Sufxajl2
XeVeOCeI6xI3bXmDloF0jvGkdE27ezJ451EO/bLJiyn61kGvXwhvwoko6TqTq9JlpbfKu2heiyxk
98gsQMV82WsczlCCPfFJv1l0nlzNrjRPiviWHBuyXcT5yYFdCERSyfkPSByh0N4ENdrbuqoBHKzC
rFc2HPOhvS1kNZHVmcvpPUyLdLNEqn/nk6Tdi7YRlkQrTH9pbZdardGKvGRjeUb8APsuMkAUfcFl
L60tteaxxLky1VMlX8ha+qclaRYkN7zX4XrkMUn3cpiMeyrM263lmqBZDa09X+YaKPd1irTEutXX
LpWlaqpi66LhP7gqLdt9zM1IMzIlZoP/M8OjlvvpzTjhAVrrDgI/DHZ7XI2lZP1V2kmHhZ6zc1jR
yrND4Lb7yzwGtVpb19JHKgRa9mi5tlkmgZq/kvazJL41S8ftvuLJxggWYpZPiwJxPPYqaoQbKNRX
R6FgWTQ3fMPCmkx6A+s7gIctnb9DacWPOqbfBeNEGK58CyjqxgbZDjojq8DGWlWr663h2BQgupX1
IBg14lew5/NWQNdhgMEVw8PFGXA4A0ODxA/c/gOrAeI60Y4c10Hso2PXgdpkY5Q/llU8H4jY0cx7
dcy8tnmPq3IexGtBw5tZ0TJf0EFW/WktL902OXC4Y8FDZJv2LuK/ouePqEVafyLoWD9N3s7PBVYb
a4OzCIwv1T/dfL42LoBkiCtJz2wyxdAmrrtsclDfXOb0l13E8mWBgJ+vMSuZLcNaBqgNsWmNG5+f
CPHfW3nkgjlUK//XsdS4Y2vh7SYWCmdWOj6abNDfG3t2e2ApjYeKG43LweON+9gpGCbpQhdyVuAa
oJRbuE9aGc7sDvfxcwlzbjpnqm93lFPFYreM0ZCtpWXYRDmtCZdd6mNiPsS8fQs+RoN3bY3NxuKW
ZUM575bFGZZLC/8xPIAJ95BnMhLKGEVd5wgj6ylTPkXNkzN/0i2/9Sy/2bQ2YfVYLdX4jSBDxTlS
8B/uZFPAs63IwqeS0QRXdxmjHWuQxxqD3DN3UQHrL8kia20jRRFXL5V6g2Da/E1cbs4oL+wB1rGx
5a9riiudzysqKp8mlv2qzyFiu+RsCen6FTdKHcr9/670+v+rg9L1mRz+O3327ic32ee/6rL//Cv/
1GUj+JFor34c2lcZ1cel+x+6bOz8w8cz4F/NuwzrADv+U5h1oVH+B1IUWK3975zKfwqzTvQPNFxK
xKB9XduRg+R/IsxG4f8d6QxjoqQU3zCfcPUL/7235l/4pfkQqpjavGXXknGgD1oGBJYQRe2bLCI6
hZcm2fWtk5LqCAhwugCgLk5YV7sUEtG5LCBRp5Mt083g5Um7SlvRr1yXO8gqTvHD7N2aYMTk5Bnu
Ds69rWBt6KyhHQCDTmb1Z8mDagPasDrmXpUdJFyFQy+HbjuY/rqmEPVdju+zowWgGxJyDz5XB8kz
EEfc7HPrc32t66MbV/45n/I0WfWtbzjGPOtmhNGgkCoIUK9kMlm/RFbo9OIcTb7wmqN72SPDHNiv
U9NDuL8GbppLDIPzzaAvEQOwMzYGJSF12vRyPWDk86A2sEwpXgndvY+Lnd/kOn9ONQamQMjhyBGv
P8OQoIvvquwx1V34FILauLHzwt1P1N5s6XdmVzTX2RH+zTXoYuNa0dVONPWyTXjpgOAXGY8kna4Q
6cZHDUR8XSbxTdxM1dkVHeAwU/7QfBAA9GjyR2bJ4lg7BHODaJg/pqUJL1nA/hp3jFXzRIODTkdJ
7Hmn8lpMsza2x6bZ9C1ZxYYy0LNFvrFlpKN/BJSW47DNnUae4DKL4hdHLPZ9CEXjMRmqKjkyp4KQ
sLlI3JVsCVlkStd8NlE2quOIpHAOBT6fld1A/GN3xewHSWa4NlHg9zyPrVMxTRJB47kf+SB0MKAl
92YQeNvCDt/7riZFcyJ8U6zTtsJcbqcxPYPAnHD5hD5XYWBRBbsa497mg1V8WAMg/9SM9b5m1Lz+
SANyv0jil5bOoG3QxdMFTMcAPQrm9EonAzc3f4rxubkj2nvssMqC/Oa5b30whq9N6+hx3Y7aeaAi
KryjGniQm0CnzQF3QHWQBGRajLwswjobl4sK8uLB5JnHMyATikfyPDPx8SMNu75yaEfErsO2IQzz
RyjB8QFGqn0IuZruuNFJLvglQWfVRs0NQku3E8MTMTniVeOAiyl7bUb4d8Rxhtu+4zV20CzeuVX1
90GjB/ZlBCliXd91k3PrzbOzKftpeShVdV37WLxkmEbXGonoJgHsg3SOwY9PNYUsAFt0TjdlbeH4
bWmIX7Z9AiRwDYYQdRT31i+Ep3fGAn1h/KxvACtOR9Gi/kMLjxQxd+lf2EU319Y8osk8ctO7wuBo
Q+VJ6zMEPY31cnRy7Hl2Hj3UeWVenVJnHdudKrohF6v/kH6pUQV1y5WI2orwHLRpP8FQ5ZbPKht+
PiY8L54/fOBl3hPWgHFjgrr5qZKxYcXukARvLzHv/YQ5kseh82aJbJpoS73e/QsxgNdsPKCu316Y
psmFQGoJ62vm4U99JyXwYx/F8pRbfPm17QzzS4aNg96JTr457uTLU9bkap/Tolqsly7omdF6jukV
R7RdbqOgr95Ifo/7PuE+u+awh7dEhZ0DAJCYg13ThREEqCxuyIYirib7J4qKaG9wcd5gzyxZw1np
bqA059oPvHh3DdGJr9qkND/qiUI/3QWHiU8RJ2wr2AV07fOYu6wiKhv46rSmXaX5EUPXPCx+mP4W
lqEvhVnoR48TOybX5gs7JFDFFiudP+0nAZD/OaetMF77EaATTDG4DR9nSC/DNjJmCneR4j89CiSf
TccNZdzmBYguOnwm6EmyBwF4U8uodY+SiYlKU8Bm/copxfKMSHl1i1DPwJ3ED/1sY2KfyzKMAkGb
rUnKmwnxiceL8HYtfbLwa+D1sN24ZiQZD7gLAZ13KnFXGVlddEzsz/KnibITn2WCx4NnBaC1PfUh
dFX6LsNxP0+TJKivxxd0aMEeOsHzhmG9/eg1P86agDqTjxmnlr6hnoYvEHzxslORxJMpqzYqDqWo
R7lOczl/274qZobROfnKlIU20hb5WK/aCJchHhy7TvYMtBjAbTnPqCh54FNLnxHXM1Fk3K2siig7
w53K8k3Y94I9Jwd8DgLX1sx32diA70UHBajnjzeV34wHXFN8Cowlzw0OUWZwnFsM5aweC1QnZoys
e4ymvqPCRtufqlse/SGKPRSntH+yp5IJgFUE3oCu0BHu8nqIzMol/vepxWyT9aIH8033QZ+sffJ1
4sDUPWTbXoULoWHs6wtndtGt7XmcfwXd5y8BCvsTfCri2A3x2ifAHMlZ8RleTZbrPzpG+W/U4Ega
MWr/ZAKIbEGhr00n882SVHAU+jBjUgpKtNvl5HZ8YNn/VssPlaeEB3vPn2e+RUMVa55JwxTPr1Ks
kCfIDBpNTmvvVz6U1EbPPSH+WM4PnqB2Nci84frV7fhcOjIU+xwt6KWYCs47Uiod6niTdHqLatXd
wZxmVWkNbvLWVok8OIiDDQtJW1E7bTlDCtYxTadNmHFfW+GQh5RtSsMvmoRjIe/MNDAaxYOp2NuW
9p0urG7GFQD6dK2HueYOkaDwYP/o35Ws5V3vLrSWi3TBnikC82QWnzxb7NHMFvQmyqHTsfS3ARL6
TD6uAkNW+fKOn1qd0syyzSFsbXwJZdabX1NlNtsfMYp4leLliw7N3OE20T19u0BWVc74ZGcc2OHi
WGzrOjneRJPd0oFWd8jeoLTaH0oYqBSN6oHim4zy6bU/qu8Ya/oBekP03dNSjoNiSmOavV0roB87
kMuWXoGCm0Nhi/cghZQY2MXwZuVUKK2ouiluBqd5iUcVuJiwcuFsIzxJZ6mBMRRyKHpkofoHJHvK
oyzVf5aaxgmtSn7nQx/2t1NJETVZHUl2uWF1KfuCHUYVIrHt6rJX90WOcW1FRRXkp8orMha/ii1E
3pe6Z3lCt/NOBO74Z87A8wCmwF62tfCYny0/Fi899v5feDgeH+mBUs9t019DtPlyraYiw682S6db
xanMTnmlDMNc5HghnQZuQWly36evAzuZlfIyvdfh1fnEcp1YCKjRZc72XEhhDZSkcHSBvkYhU0sa
eAnJrE70C4HhbVYshH3c5xFHICgS8zbmSUkkE+Qdz33Ok5J35TWFmh46UbWXZhDjM9oAoE92aRuC
WNN7oq4QcaNt9SVwj+GwyTLve5LNGofWNi2b5T1Lw98hTzWLFFscTOoOtGOBABPoLHHw75IxSlgq
2USVebbsZ/KeM9kmbf8hoz3Zb5lqLAk8Bc6WB+KJfgzDght+J7tA0bV0yY3ozIqDti6/gIVPDJwc
EJvRb9jIhXFmISE3SXvQPC7W4CKW45RX7WOT5ONr2mHkCsbKHfem4JZpZfUZeldmrVTHbvZgGRnj
7qlrfB21m4zPqF/oVoEKyW1HpfyKHC4Jbg51ciNZp/xq38KrB+Sfrz3F+oETyHapdvJaXAdlY+7t
dkwuvk1L4YZ8VnJPeZx+Aq2DpxrCCgIJyAP1EeYRfdKmLWpnwwVtfo9ZJ3/3IuLTEXWILGc+eFwM
8zprPpOwN88EwLxL73vuvZwc8xJ7MSsrr+3xMREHnnnOIlCvwR8ke9TG6cC759/YO4/muLG0S/+V
jtlDAdwLu5jFZCIdvTfaIEhRgve4cL9+HqT6qyJZatX0LL6YiehNR3UVpTQELl5zznOGCKeNrt7M
bvLifTnH3qktnTzkqHWY/SUM6ZiAg6hAB9oCb4Y5FO2zLDdBI7ZO+AQ8xUbtPRAHRIznsskoZdet
KdmMF89t1YlhD+H5IPIyW00QOVZu3zGIzvJZNBQHMmDCMjHxmb2pPWN8ydqxRm2mrWYR6N4uKsz8
O4dE8pIMg3OeuXoCCnisiw3fGbvZ3iV8u0cEgYGEBCOigoLyobWT/pSb1SRrd9BgeUsggxJpostM
mHW6GjacquSIO7j2fARkgYmIZ9EFhfMU3idh5r2FXrVgf2DFvI7KSs6aCvAQkGUIMhgMGuMVgCo2
Mz1CQaGlAlkHfeOApGpTivG0CXBZ1XMK9EVG2aVM5uKqdOxErHtAtGuvJZh3VZW4GhryjywOyRcv
0wn6dJX1NUZi8TpmdY4yz53C8wmxyGslysKfxyy8ZXKdPgmil28Rf9H/OTxDLvqqCoYdOp2WjYQj
unTNjaULbMjEb2E/a04Ft8VmzIcOHSBUHpeioChuEaPguor43NfQ1ZA54sHvfYUW+3QKiyxfq7HL
kIVJcKIzxYXf2Nkc4WtuozdgRRSLiCk3teXkuyWFLNxaeAVPQ1ZIV7YRRIeMX8Ad4onslvOiPgsl
H4PKyEgpXYDjdAMP3InB350YcKPwCw1ov56dhNN29Mzwti7n+3fjj6ufmu73gUx/UXrj8cTx6UCS
1D3HXsYa75NXmIrWOabyeZc2RnKNuauDM7N45ArDOYnnzNkZi8/y9y+6xLl8kJcvfH0JNIzAXkdA
q/v4ohDhyjlwUgiUUZidUWV0V0iFS1/qSYQrHQ84LZkNCW6ov//+lRfh+udXZmyCRhj3qeeZn4KZ
KssanCzHfVq70BXgUpo9AXC2Bg5PpjO5YEHxdnzF/5iZ/wYuxyAMuPDiLPjXfuY79oCq+TCO+/OP
/ZzIeeKLlAvU5+c8Dr3+f03kPOOLAdZNYGDmv3M3/mljJg7asmDbcW27jPJgwP1plRBf8DXjrrAk
gCYqpn/LKmF+nsi5ui1t8szoEW3knwDfPl7KVZEi5zANtTcDcwIOTdmhDe4+7zmuDG98cm0vXPU0
z2urTXGylt33UYjHBHAHSZwkttQ0u1Y9vHUTm4O0y0llGG3G55qBeL2ri1tUo+2p04esi3C/+XOP
DWquk2sbkos/MFrbYwZ0V2FYXThVyr4PtRaEXOuJB3y9tdV0U5r6d6xyV8a05N1S4a4LLzFXc6q9
gUu8YFwgCHYFjBeVyE4sux/3HfcfjYAMeNWw/8qCda8xbWuyhFFeN+QO3NjwKgSv4cfsHDY6au+V
IZPirMJbftol5ozVAFshGhZnpA8zoeazxnsIvPBOj9OXIWqeUr3LslXfTfM5oyV2I+MY+ChwWWWq
Sa0SYaqbfGIv2aTmWWUb40GkltrOwVT6IfpNnilG3Hkrh+EIbAfLUD8M5ZFmGBIJ0Ujnml4WrXsV
bSK2z7sJ3RWK37o4dxIcXsvi51XWoba3TWSOUSsqjvNarGFKOQeOQ4LWMBi8dvb0tRm9aC3zmYXu
gJZReCS1VIWsXhVg5/PAZijoDRX2ADIjsBdb5vlMzcvpX35PaMp2mlc7uFQA9ww4wAHZGqTZLInA
qYPQMY1QhRN83ZzU+Shu3HZ+4/nFGiYd68shU+mTLKcn08WUO6QTk0APTX4Oywc0jaLop1qdWSrC
diCItCAL1ClJe+iyFBcHPz532RRtBwOJFkazEx68XAAUbXu9aqLT2MnuYtB8DqvsExeoKvj+Mb5r
g6YFbi1StH1pyGQqzG7ANCMIpKZbz1CaNkMcteuuMu8dmQTQXDTrnJiER65X7/uoozllmplfzAQE
+Oi28k1ftXd0bnfRNG7sksIBScVDMpup3+vA+DA0mDSqGDCLcVE3tzeGhYIcYQWY3kS2JA+U3YMe
Mn2wbPeG6dHdPCZX2CC4Zrnf132EzoVoFemtvJ5iaTxGLCZSELeYz51J6FcMEi2cmurKBP6yMdAv
+6gZMkydItuUJt7EPDaqrc01eBl2bX8CSTXeI/Kc8MZEHGdeu5u76lzpSUAzl8FLYbCV3LSJ6e5E
JbAzWe2DEbbjbe7l4clgo3LE30LRYdr38BjFLo37/CEjPmPNr6rfDNbU04Ek3UjdrwXPTVktXYKo
z9h+hyfzNNj1iix0kxRvlrm+CrDas4D0GU9EK3ucvQs7N8dr9uakuI2wEsZBUdO39gm8VXkJ0xqa
VEAUO0vb+HowcOBMlasuMaugekcw8o1Sdw9YitDnwSn3lJTM9arZuA5SNp9KYxw/RWipOt2r1nob
OOveDiHidYsn3q7ceC8iq8gYoeA4njTd9r1BU49T69n3KlTOniALeC8QyNaa7iRbq9dJxUXqeEic
GsIBPoR7L66ohkoEDtSjs7jJaI0v0JZAifCy5NEuxCOyExKakHiGbVjsq3a8qrpefAdm39/Egz2A
SmshTdMPOYTlku1Ml4NGoa1eYyrc7z1alEuHZ/6JN9nDnr1GtjaDCj47LpCtMYeProkEBsfRKapa
4eP16WhZ1+jF9XU+QayiKj2FQCG4c2OZ+PkyVqv6yDldlFJXwxxUZ4HRJZcRjS5xnepM2XG/ywGE
PRYwz1YCxsRFV08K0W0DGi/Gnp8ToLTukzm57z3eRjZM800QzdejxYRVuHQ6JdGshypR1zyHtIMq
g3pr6Vb42pT5vAfseReOtb4h1oc5uii6S1aVsCfcOfZl4Sq/EPEZKPCU+bpZXlsJeOYcEcSqMdhd
Wg7eXGQ8gY+BZSJ6wvKAzlua8jvEaCxX3XynI/Y5G/FFrLS8xhKQQ03oHckpHFvfDSMqfKKAjLXp
edfsMb/Fwp1IesVVbXoU44w15AbsBOolkB+bXoFGIJQIDVARPOhEjf58D4JBNwaNgZjTzhOPbs/d
nFmCOONg9s6xHQjoBLAB2lUqQRtq7BaYaBdDcycq94fFZCMfFKevwXI4MjYYKy8ZQHsrsjEkkhqX
rYwYsBH1LpHllpYwlzOqcwZPyUNFibqphTWgyose8sLeWdqQ+aj3GjLPNe95Bj+1rb3qrRy5oOw2
u+trCGrJOA0+mtGLuccYTroCQ3g7uW+7RhwUqSPrZvlNMxoJtpJdCUsXjp7OK94KMb8qp/zaY4/n
S52JVsvorhniMkyx0iI+GYPwKo5qCGWYpVf0CNexYcv1FPQ0JHC4fFctCibkThiryQ5p+7SB04k1
Y27DmuCHDnbn4mXTOIVsFOIBSVN2Z71OeIcG03rDL4FQqkMJE0vrP+Xu/xFLWcDfpfb717XulXpT
36LvTTN92D7//GN/uIKFZ1rLntli0PGepWx9sdhNsGW2DUv8/C//tAUbcH5MIclsMKg/XeBvf9S6
hv5l8RCzEpcoRlE8/FvIns8sZZtBB5ZlQmBpm/jHT02bVeEAVZWqGdlZz8GosAowESNNEzUSALZV
WpOWFHrOGYXRt3ff1C+a1L90bZ9emq38+yZVJMYCem3rjWeSYRFGSAmjZN5XafA61Kj3fv9qYvkk
75tER+hMDpcBrw6GWizdw/uXS4I+sTskO9s+SU0c/UG39tiF+qMrUmjl1ZMeJsmO3zSI0ky5G8/p
nTVlj+X3tnoCJICeeF60O+kVXrpzKxk5/jIL21XwWNcBTF6cY6uYHEFDArr//bs3fvH2PZIayVE1
uVa4oD619KJBDWfjtyXApiv3jpRJu0IDjcm3N5cx4gzSkvmMD4dxvPJUEt+agXUpeI74PUhlpF71
UzqzqMOi8ayZxVkkzR1br9fQQTyGdeDQMQlcjQM/K/IBQMjCSggHd2eXEeosd6oPYS30O63QwSAE
WbPHw+sjZ0I/fE12xzqJ4k1vRTemlezDaXhFUrdKBxJFVO6PAeT+ME6vgQfdVNl0a9Zv0wIiwiP6
dYyJuHIm8D2MiZ3zsvE4NI0qPRAzrsAa2sWube3Mt1w+zFjIB7Mx5E5kIryzU/0asSQLc49XlnWf
nQnkwS9J3jk76Ios2aKOuRAW25WJgt9Z2ZgvfVq7+HJqHOgq2VDvdSdlqOOwfbDofU5MuEhnrsvk
AIBeezX0gQlsoUVd2JbuV6kLBzJDXF664GmYxi5yC9bKuA4CbwMOWbxW1tx/r1Snn/TG6SCi4QKe
JvI13SUbM5FpubVsMZ8UipfQ7XlNNp6x1YoFwhsnb3FY2oeBvROKccRYdK/XWls1aC0isg+zZ5gX
JzVQlbC3Gdbxq7FaAP1Gyx+okoCdVR4QsZW39Tn7hs2oyjtihoq/yT8QHEAfbicmaybtsaQGZ/rp
LEiD97eTF5ZGjQDN2KgsK/BiW3NZrKsadittSFixmLPkXbwgj+cI+HEUWIugYdFlBnGNwsOR96Po
1/OyoR6Ucr+PCz1Zpnq2a62gXdteq9/gTk0f21opdimB/uN4T/1nhvM3Mxym1SaH479+qN28JC9t
R5Lvh2fazz/185nmuAs2zoFZsaif3o1vbO+L6UouCGuJETGPUqt/PtKk/sUASsF1i1RD53HHef9f
pAtJJjAiLwiTUncBHP5bKb6u/fnaZBTILBKoB2F9PNPsT/PAEn6lhpyi3epUSkS+BYsalHIUZWjr
cXNxgaIXZaPY2jvvqCOtuR8LP1/kpS2xT2iVROieCirN7SBHeWbj9ojpGBZtqjM0rPXmo2Y1Ie1b
nXkoWZWzaFrT2hm63dRIFK99X2FNxhUBiHqRxKpmWHK1qEYPER1Ms1Eqz7lRpiR9nuORrAsDZXy4
wePO3h37MjMJvQhCSv3eZqZRq03ooNEde8+9mlNjPq81uO15NadrT6XlpqpVetML5P7QXbWX6aj2
1bPAfs3TriBuKoSeiYpz0RRZQRRtQxOxcE/79rhkpMP1OAqJqwGv0M7p8/G2XUTG8VFvrC/S4wlu
qF/N0/gsiRZF1FvoFT5C9mIo44/a5aOOGWpDpPvZUd9sH7XOfR6jpOoZv7SkosvqMm+MOl1NTHae
q6NeGu8+p3581FGD01csoFGVXeCXsJ5dPM6ouukCWKZ5xeKrlVm36o8Kbc1Z1Npuj7GWaQPi6wNc
s2aN90Q9KkXO40p0XSvOiD1anEljk29rxGOvslNsxOH5gQBGIx4ZxnjvKaz0i8Kc3erAAuakSmeM
zLIaRmhWQ/XAUwDTwlF7nlvKCRGK1Cx99FlZD9FRqI6/MvTr2YsXU5VZ3hA4lNQYddvxoR+67Kqo
6ugaK3TSbAP8C/uIicAOdn34lPxUyWOGcVyceQr5vLso6VVX9c2JbQyGtmbBg9ie7d0k9pqJBt86
yvG9ozTfYJnFyq5ZYhImdMqrHCLNXVv3rBED156qlUE4cb+uyrYLsDstDgDvaAY4+gIUeSvP1Eju
GYYQzE3I8/AQ9Ec/Aaw5FshtamMbwwpcyB3sscV0MCSy2nRHM4Jeaj1wCk+dIUgS16od3Ps0aVl9
Qpnt11rR5vna6/P5KjiaHPAXlTw+SdCLGRFcGVhCacWZCOwy9MPQCkl0fIYsmZ46RxOFUdKKVp3u
+MbRZMHuvTuJg4mYXn3EltNYBf1eUdrPXphQP+ZGbCD+VRqO4apXHu1qJfA84fE8uHLskm3Z0D7q
dPUQIWcNF0g5dOGNOQtPgaRLvCd9iOvHRM/cV5tcarBOfcfSXeMvJ0cnxennPqo+ZuhA1KKJHcUw
Xxh82PpliOvXZniyOFa8xbxSA5qcEIUp86TpceOQ0gEeZysX04tVRu1rlISkZWZHV0xzdMiIdFak
C04C50yI+a7AP9Nji2B7iqoFgiFOG1Tj6C8jmoR+PdoMRdfjT2fO0aUDjmXAoTeahs8YCx+P57Kv
WrHNWko+vZvQQ+sevh/kB95LaWrxS3r0BInFHjQtRqFksQwV3OEgtMm8/dbYdnnhLOaiUdfnh8hj
HrISAQakZrEikSaNK2k8OpTIC+2/anMhaerNBZNRemcu6oB7rqhkMTtzVR49TzxMpudUTdkF9CE8
UWzZTYfg0FDsEL8UFFVO/y1pUExB+Kuxu2OuKo4+K0auqj3Nj/6rMLPnWw4bK79Dpxm8uInmXoij
bct2mMK2YZU+4bHE1uV2rrMk0+baY734vlDL6z8UXNIFzF1hDIMLjz6d+/tM10X51skaG1l6tJSB
ekjdB/NoNVNH25lCyejszKMdjUZcZ3x6tKk1i2PNWbxr7tHGZiyOtnzxtpEOgs2tPTresL6FHR44
ubjhOlGpl2xxyKnFKycW15w1WtqtebTSIWZHU4TRBQEb5ByxAfHdv6B7kfY+Xtx4Xqoh+uzZNR6M
osOtt/j2uswBSmiUg7sxKlkWe2LXzPhWN/PR4meD+KFGh0+kWeRmW7SW8pCOglFMas6VgThTN95U
UDmX6J/kV03r8ysBVxHwJN7SDLNifJVHXc6BIkKLkAxrKL4mi08Rndoo12pxL+KPitZR3JTuRpuR
LwKpyQbnDkJ2/wOjjEDYmQM5sn7aIluYVIybQrVGY0BEVTwGmCgJqcgBYSzWSquflv3KHFypo/XS
iQNsmG7ncGqZizuzXXyag0yDPQQJfSuYNzLMws8JGHU8FZoQ+1D10R2QiQjfPxPbCv0u1XWnnluS
q4JVmC9cBhPQCpoW7kMNxaBTnFl9Iy/xzNwozPW+tOtHFincmGGp0byydi5jKziNZaMYk7Xm2xgl
+iHEwAIxu6rXXV9NvjnFOF/pFYPa+Q6v4bULTW1nxODLF9CtWqs2NpgahaP52KUxJkxGw1y1kdVC
TRGlOcgDZN6U4RH6uOowmCCaGICVMESkBkIRC+wkkdQghZq3I7q9cTVG7ltZ1iXMBaMzHiKMkfOq
gvZhkV2TueMFspPiLUA0jaKlp9QxI+xoOGTa8szsEnwYZBcizUu0jeih+KoIeztrc9eHgua0sAHj
hDSkTN9EwCFvUgtzqdUHGZEmHi594jN/uHHQPWeubMmontpXDXrJmobUjAkbQFu3Mq3AvnDsEvGl
NxTGhsSOmQydpkjtsykpNe3eBDPB2HzoY+a2SJMKX9RxP1/Uixh6k3PBkOZXoWZhwthJvKgNEfJV
rMmLGhNJvM5GMk43paEkio4oTQ7eLNvv7tK753Y2cO24VXbI89aTa06E3sFReow2wCAIiqbxzoe5
8s50aGPTujNU9JpXrTyxmoalVYA87bUSnU2h4pXTV7rELvGBgyBsVGgcu5Vi7ungFTQgP3U6BIlD
iM5gl08WjWfKt3xugATGm5xK5tRitE/SHMUyogh3IBlAtA8UUUjGU88Q39p6ap5YnUQnWW65ESNh
F0s2D6XxIqR/5kniNRjyHMMKDMKKjORSOQb+NWlbHQQGLZp9I+0a+6wnnulgNYbLAovDDgNqszz9
EBZjfAYOyemOjuUcYgmhf6Pnun5uZfb1AKbyQTLhIWDUjcsDOePOUzLUKtkXRlRf91iSS2jCopk2
5ExQFMQlRIPLxgjC8zFp4RlITDQvTL/qa1Hl9k3QNuyEAmF3hOf2sySgRgmuk95CRpJKQnnwhSZ+
4w4YHQA5DSuNwvTaCq3hVAV8PWsAkzMRHtFsPZC8AVQiJMapQjEMcWfjRqabP4ZEw35nloJdK2VD
wo8MS3WURCDnd4HqshcKheBm6kfE4y4+aH1V1qwyuW28MN8A6gQ3C7MBogAH9AS+Jom6hzQwDfpa
ntGXqpyC00L1/YZboPmeK8u4GdI+an2j8rLraB61e0GG0YPoR2snes/7rmSv30+kQp26lqU9T3qA
YS+ok/l6KBP1zPlLuWDWHfEEudsmmCcXweaQ6+5BB8bxWMYTqlHFM+aRzShIHTNlecEhoCeENHUx
4APTk4CqQomKjEpZT80DWDKqmBY5UUMiELpr2+lp0Ms+koe4FXa2rQnzRTYbHXX6UVRPu0BGYXwy
d3Z6aimTeZAyF/NZnGS15isPmnNf9Pm3tnHdmumhgt3b0ks9mAmRJEQ9D2Nj7HRU3Nqaqxe0K3YT
tPNSSyoWSPMw9KzDitLTXmCwOgSwiMwtfeBdOCuiIpkR7M097Y6PiaZ0n+pxMNwbC6txu/O40ioT
zZ9hOaskUC8Wq5NlZZxshyXrqBszZxPC+dF2Y2HaB8n9xIU5I2Y9w8BZIWOVZi8XDi8FK6QXBESu
dafzvJkJLJiC69SjJrhacgqJ+Elnj6QyAIHAzSK2FOzJ3FBthA6rVbJS7ns6lQzbDYvaIqrr+jya
S8oj6EwKyoVR5eZFl8giOLHAjUaXZJwqLA6ATId90sYkRYOdusahUGt4YahJ7qZMhxbBRsKSW7Lt
ovhgGUmMOT2smnyPLWKatpBdpvZrPk/6i0d+ok3IhLKCrylcfzynY2g4ZyFKzABUXjxgbkDjhdFZ
YOuM4Q0QDxn54ST0r9LuUVg1XTOodR1UiyHPmrwzHt/1sE9dg1D5KTfw3oP83Ze6SHcdYkqA3YE9
3kYFRIPDFEOYI/MB496qMFWYnJemMzjkORgl2KJUkGtEoormd+Fg72BUeXDDm3JEX4xFpmZBFzjB
SVGrqRbs34U+rXgywOLQNDtrn8eUcruqxyk/z5YpOUYdNoyIIFF+VSeFDvJtj0x3EV8RPxY98JCy
2wNwloIyRx/A2A4SO9gqjtks3+MnNZNXg3u4vA5VN2Hpq7AHRXWAyFpv7f6KfGbvOaG4Y0MzdZUD
DB5DlF828cS+LsT1cBpp5pxt2Mk6aDA0B/StaEj4mN1GO0V1+uyRWpIjbYDUEKUVz0T2lF81iQRh
hX3gKmnDm6SvdYXLPm25eDy0mqtZ9gglRrtCuRpgFhfIiqFO4FP4MROVIQ4G1hCNqeWwCDiyaPo2
hY2UaKyMkIJV71sAZdAxFO6MtbJDyfPfmvJDL2vNJOyIXJuw5WwqwJWchiN3LFUL8zk/cCfLXoda
2L+2jqsWWqKrk0djN4hEJlrhbB+3DSq/tp/Ch5Y9Fb8PMrktkoxD43KyZSbOPb3oQ/ZamR6T69Pr
ml8j0ShWJRnwYCMbfbFAFM4bMUZNvBlr0d63SGG5vZKqeck1uzjgE9XWme0EZ0QeEnYE9duwIURa
4DLn3JKXVhYCAAKftourJD8kGL1nMI58HfZgN4j0xu7umBdjeiHs4K50sAINc3uoyEZ/AYsTPkxT
3D1OeNuSHd56cdJLwzkonHHGWrkI9UIc9NU6Rfarrx3CFHOf0BJi0ArQPdmFpxTGIOiJubfV+GAP
oIK9U9eegeeNALYGBumQ3H1iyUiFbAK79jvohzDawTr1/gCrkhO79uyfG4P/tunm8kLfyv+3kk05
cn+rPLuNU/z376eWjBOXP/LPTZyLSsxFW2b9TMj4U3XmElAKHFfoxiI5W/79P4eWwv0C7tKh6XEZ
NC37uz+Hlg54Xg+1GaLDZZxJRuqnDNPfZZoaHxdxxPmZGEAtygiXhzSsvU+SM56tOvl3NCYmNqST
uRlgw5bxuUn6A5HZA0SSGo6fuYQ5DFU43sdDGp4UBtlgNfIe32COwtCyd78lUWv4AYfUDVSb8VBq
VXdO6MLfJaF+VHv+9f0u67Z3plXiAewudidjT4LRsEcshzuH5x/JwYGvV0zRRO2BM8r1YPduFv2L
taE8rrr+3OT99aU/LQ4r28wrnizTPg5bhFBMci6wFbnbuR7LTaK00sf3oq2UgdE0FdbluMAamODm
vud4LMAqq9lPc2EBoR0Ie0PFhb44uhSeYNtU8e3ZcrzMeE6eBx0My9gpMao0hb5viVKoiNsA98pk
S2dGBSmAzUyVuf1TGmvT7BOTWV+VUV7u6InVbS/1ENsj5QSBbvEmq0R+knt6eY4BKD5vGAo9R2ro
fIO49LPYoKWf0KNtceFt9OLb1Ef6ge3KDmugRlsU0doNhn5vDuV4cMBS7TJJGFQwhvE2gY2VNB55
814p1FMVWzrCci3ZspehJAprwrVIMYShmNxbdnCppuGa7rHhWeEPmfZktoV32gFeOpkS77GdhbaD
HIOC1tT9KbLFWTKH53lO71IhzvfdKWHUqOKdHKAn9K7z0uXgs3qm4iuYfCfAktHR99Ml6nFri9qs
2yidOBItYmhX9SOIVhVQWUDhL7Ho0Kbq+BZKmLbjSTBPgR82ld9X+kpAniiTmvlnwBhM6vWW9e3o
V2SEbYm97ndl4pobMWA7KMYJJMqklxs+WESRA7raamz96xA24cYOUbpBpOuIaM/RTClPnnDXQIxT
p8Hksd11BWlm0XiHQ7i/HvORMiwnTK2yFZPyodrrkXaHbhoPXoOVDMArPX9ZRpeegvPXS5mdedGy
n8WP3bp2gEfX1ncdJMWDaVbu2hWEetREvK2hUVuM7IlT6Ec532ljDbke10zZ9+jd8sMsGyI06HYB
QHE1jxZwo6HC2KVcpOSSUdnpEEZknsUddMc+f4UBfNcRsNsAKtjVtUvuinun6zxwbAbpJIKAvqN6
WeFB3tuyAy5US2ddOLh9M+Hi8VOVP3gByBTPgt/sIgQ1g51tPRRFm64byaAwssiAoAtLfIA2sNey
hFVszfrZcZMdZNEbo9D1Uy2ENWMP7DJGGgACUzo09mWV3mJg1PzJcXbjYN4C+qfjdUesZjAIV6lK
Lmx3FCjSHLFIRbt1B9bTB5C20wYCG4SmbUybUAMBncjKvdPQSg8QOm9il5VOPY133RhjWI3XXRdd
9BRZe4LH/QEX5dg+zFl96dTYNB1d3USMPmjA0ngLi32DhOsljZls22Fz3qSkXObFHcbZjRi9LZG+
34DqbzpKLT9zmLBSoUTrVpoXqM2inUFmTpzUYPI8mNbG5eiEJ0lQiPPcrjWxoiJ3tmFAkvqqlGX7
ytLK4nsv9NsRyBDSRHGjUX5sg3jQubf7ka1NOOI2b+yc7l96L1GGnUPnYx1A+kOEyzzEyOxKcRvW
FYPsqYP4FlGcjdiC900Fu1mkhDVWqg39Jk+taxeR0CqDyXWe6LXaZzhyl3iehnGDfo+TG1ksUZCn
E7Ctu8ZzOSwIzMBGo+mI+I0WD4wT02oWjn4GQxU5bK2amzoAxI4csdrHRAAzj0n4QWaZa5p2aGX4
IlmXBZfVNJ00Qk4by07vpiLp6KOwotqp+cDYEqxB5cC+nkJj1Qj0EpqomgtRE1isuzQiHbAkcKDo
EIgpnVceIb2H0AH1mmiNvoNsGG8cvQ847FrrKWcl5AQz5x12mHx2mUEMboLtyJ73zeDMK80ofzgI
DBl4dTsLafla69N033rxs9Qac2PGwbUTy2JtRIG2HVtWW/Ts6Di1xDgwUiou5sa6+f1zbFmQf3qK
IecQluFQT1JEfFpSGpoZGVq6dFBeeV3GsCDzhDYewOjfpMd9yiw/Pi8/vNKn0gLBZxFhkZf7PlTE
kQTed2NuIScy2oa+Z7/aAifjaJH44S0nb+Vg2vj9Z5UfN7I/3wIiJ1NaKFuwpHwS37hlMSRFOxt7
TiuKad0U7LJUi2c+cxxfaxzNj2sjvQVB1e1T5NwXaHTHVcQY7hRVbn2KmwQFRFs+2YSWXCMr8fyU
9jJahYQYXVjOTFAGhF8/6bNwz6Sx2AuUwptmnjgEgc43te7ugfv8INpEAzu5YFOb/Jr3ocHDyF5+
/3l/9bt9/3E/iXUSMyP5iCHoHuFwcNM2zMEnFm0+bLB5/fuX+qii+uc36yyIEv4HW8Ty39/VYcZA
W9kx99jHyvnRMfBfTZb5Fd9j4TdW9fT7F/uUPv/XV6O2fv9qWhzk/VgmYm/F/RVLT/koocsfkiF8
M+KGQBo77a4YDkek0oh532ksMUUKI8O1w+7cS0iX4jfpM+LYZXY9bpNWdcRdcrjRfeZ+HPMrTK1B
96MusXwxlcUV7iEs32mDn240+NvKhC2+1M7GpSipl/LEpE75/edcPsane5OKHy+iI1yX73W5nN99
qTBWbV3jObK3a6iaKTGb61zCQM89W7sCd4HRVdVZ+je/yl/dqB9e9lNNLbqSw60cJKtda8FJWG9O
avBkbgK2sYxzT4ppvAhAx11hQiw3SA3Sv7lRf/kWOJQ8GyINNhsyRz588kw3xrZCLr+XMTjtlkdi
bLXnaDrwZ3eWtsoqm4QKnXpT2l859evt77/5X1zOoOn/fP1Pd44aCOYwitDcd5n6Ktt4vOiKQJ7k
NYL5SQv/RsW0dAqff8+I9YnU0A2BwvrTp40G0BhdiZrfkm1yZgwkj8UtVN3ff6ZfnAZ8n3++yqfP
1Epd9plVmvscOsiKsHom8jiSu9yu/ubX96tXWj6KLhgVI6X+fBhUniqQNuv7ORhQZ7jGY2Z7B54z
f/OJfnmZvH+hT+cA/YfqkACaPE0q53s8dJeJcMydxzQDrI6St2nYsRgmPDe6hOhIK1BhsPj91/qL
ltnUcaNxi+roiujdP16rQTSC5I8DuUd7U+1nKDJ3gByMAxQQua8ImikrL/XDPsQ7QFzjug6jes1e
A+Jprr1oGI+x2UBaXKqL4jQN80e7kRiqYvGQNAiEfv925V8vNtzO7E9dhhK8Y6hRH24t3LgpcRwN
by1Up8UEYs+I9HhHIpqOJn0+Hz173FRKB+gCEog4kQq/PeVIjEXftxYzRk8Yl9/05ObmRbBJSoN1
Fz1Nq5FXQxPxo6pI29XrnBJOmqeG09fgMsn7YF1qryst7jYVie1+VwX1qs++i1g3VtNQ52vd7s2z
tm1/ljj/bTOo9yOo/58iXx2gB+Spvrs+/Jfu5R8/JedLbu3//B//q3h7yV+Kf7wUb/+4iL+Vry/N
Pw5txv9t38+v/vibfk6wPPnFs+jbbIMzwzEIAf/DN0mQ6+JadEwPNabFQPuPGZYhv/Bvlhwp0ySc
lTbjjxkWKnMLFacH+dASOj/xb2nJjY+PzUVoZ2AB1tHM6x7HHX/bhyu8bRESlPHY7KKBcO3Eyl+L
yk03LAnbVRQ01ZZr/QfnQrWevfSVpDUqToIl13UPnTMuWX26ResHgIjXwRA/9CU37bsv+RfDo08H
1/EtgoADZY9kFb0h4vkPb5GxBMrFNGx2bk50pzabpNpHNTSZyDvr65oMyPHCbpXfhuC1UptMgv+r
N4C5VPBVOXi0P74B0OmVy+C92R2zQ+U8oscCxkWGZoChkdA3RULB/2buTJbbZtYt+yoVd44b6JtB
DYogAFKiOlu25X+CsGwLTaJJ9M3T1wJ9qq5Fu6Q4k4o7OCf8h2wRBBKZX7O/tZFFERaBTdxRkO7e
uYTXh8SvW2CzCWloUWCzXA6HdyZOAUVZNFE7JPhcac7jkIJ+ad6TCF/U6f7PB9l8jIkSUzcuvqq9
wvxelrqJqhq0Fj0iL3R6+VQDQg7BvGb+AtmZkJHK5TgxJuTEanVSZv3Boq55KsGgwPIy4m9dziBP
O+vqB0OQhW/vReRZc0uRvl6itmQ8TpFkC0KYDtmmlLt2gF5HtA9dctDv6TQVrD9u5NLYX7sYL562
c/dm1uBfWDFlS+65oDpe05sl/gQtndVarrjBuFaIynG+xWH+RTNWpibH4rlSsAYBJYbPoPeTas0H
rI6+vL1ItrDjv8KS7cbxSmxjzBq1YIL67Qn+Fn46a8WMatbIiFFdIODz8jWH+uCaKLiYVNvEGdSf
nGb03gm+9G31v/5g04L16aC+1s/byOsPLqXnyI46QOR2Kc0syoFHzKj6g67TBUygcwOSWEe/bnUI
M0xchhUwEd9xKx5oMetBkSYh7ooeA2C8U4ami70XU/ykcbhERc7IxVaeR/ep0Bt++55dCtK5aSjh
kfwiTLc9qJwXx6s6eCaeDGkRIY+o9o1iWdcJnTbfGDGEnYY6EE5fRH3cl7dydmmBacethI4JcccA
nE3LctuAzDmsrZPt2IA0OiotnsKXxiCFwgUaF59y3fe3r/vPZ23aOrPw9BZ0mgAb6PL3Z91jYKq2
I5c9Ke0G6mJXctHk/brRrS09vxl65prNQv+3gt9tlfHJ5uZfb1tori9N5Qe9jCmCtkUUj50EteNR
NkSM+k5I+jrq+fUpxtbWoJ/q0f6+KHNUhSwNyL5FlC5OFTltI66wUn5+5yaeEQ8XK9fGIUun2auR
tegXT58pTAczlLGgvl280DtuC6b66DUiNoa6bPKSe8rE2TJiJ11pK6mcVbxoibk+SCyHrGpIOXcW
z9fMERAZmQ6m0ol6KDoWucgnHVGiksGcdx8VG5dQ1XZuca9pjxkNvD1M+3w3Yj0cKsaEXTWVlcCt
rUjFbdm3tFn3MwbbQfzy17rU0k40lsDO0Bjl9eDfm40LrHxlFkZf+RMmDxjQYaRIRyXzwmpQql3q
STPU0QChuUIEBv1vF/f5c7lmz1ZuPKCKiK9iiZODaeQvOBfXB9id3k71qoMyeyrNX9ULizp7aZPY
3Q01ey4lYOa7Rky9XI31XSUd5BZZIHVlDZoi+UTDaQ3HwntMWRy+0guu24Ae6IFWSUc9MPT+CRiL
50/b7o3rYfdFzlaHBK919zOeZr4w+bACLME3TUV+3Oq4khRT9twhG9yjaMfi1GboHtjAP1XLOCgj
oPqHkQwYw8aVg3i1lcAp8hct5UuPCXKzEojoDoDph1YXP23B6TlRd0+micq5y8Y9DbILBAcILnJr
T41HeXJU2e3NGEsVPF5cpoiM2B+woQvZy6oIkcszLSjGzxs7wyGXE7hYqFOWZnmyCvkx17zHZlMu
U/rs9yJ204jgx+BgQaBZGDyaqms/2BkCylIOdwQYUexUz63a0VoZ0KQwitwF3szThHogmSDNbWbM
7bBpipfKa3U6U+N1048YCIsXNIaMuCNB3CcmX7SbSsDexk1ssALdanT3DLndirjGkRy2JrIo5uz1
gbGoWLLOEfYqQCKIr6BwSX8ZxYuSYLpu82Rxx36x8IbBkbCxPo+CWa8qcWnWmCWKvDh5wUqDRQBr
dKdmk7tX0vo04w+9SwUndbGWzzjFFXeDp5GtjIr7kQp2iGvIMzy6+pAuEPVs7GmBP/AdCU9Pdj4Q
W20PhsjgtrNxbGdmgf/a1u4ysWxU6QG2wCUaU5Ts2Y2JGa3EeDDcwov6pXh21REVKitco46EFQpr
qV257riaQwyLqgDoXLTo7qP0CGRSBEu/XoGSFaZpxkPXQzuwNgAf/Zf1pmIohPrqFm0o/L66lMbO
TVlBhsbj71ReFzng/6hD3zhNKoVBbYLXAPoC8l6fPZ8vnMsliiHLxmWDM420lOkya+i+oC+H59kz
XN5ImgeFk8qb2vMajLd5dg5as2BtnKNmz1xTSZUexkXOwPF4qqeapqRADT73MeAgNjAIgmxYjsW/
4XuwdBn33R5wqVoPetE81chVwQTkL43NVaMVez5vF4MjXvqZY8wd2QmqPOEDOht/5YITRDJosmu1
HlLjxE0kGSAeWomniJKd3Uixkmp1firwvdkzf+Fih62JwF7lk6XXp/Pp5KmsYhVyVGhpZnyl2/kL
arX4HrO3sCRIAnK7mkHbVTK0ZlxfF+9Hhe/AzqAvva8IunaU8T8hfmbLU/i9I3utsGtuCFq41ime
e+KrbTtbKm5EWti3501psNheMNd4ymeuLcNrQa+p7DcFtmjONuwAkgX+Wf68KFkOlLuFXwcP61c2
kW4Bi50ZgC45djB1uj1/Q5SSL9srARb/YTsKMOJ96CUXdn4GUvdus1IBblJhcyWmk5vklq9V27LB
JQ6VolUiJG2fsH3TTlabvwiZFFSbWSqtymI873SuyWZi0YmrF4sd1V6VgN1kuutwmMDJkPc3582k
ybDyrzAiOxSii6/67elAz8fQDDbLmlS4A+S8h7Nc56vzTpzNWyBmJwVuRUDbOOPxC1tdxvzQ8e/4
FzZX4s7oxPip2/EAhgwAe1YjB2bCiY6rp4q9u2lYqLZJnzXMr9/OFUNwUd0WPAvbetDaOMCgbYmM
mNEcgdbc31bYvPI3U0mYzk6DOwaPaqpZdC28B5/6IMsU9aePzrCKDI+AYnu6zLtgpMIb7qTs+mRB
VdQk/MJmJCs477/FtjvGTQpAWGjGTsEF6tCAYwu2Mw5Jq8GIMKvaGniBnFWcbJur1pGD09DXxP4c
DuNoXgTD1IobJS6WTypIvYNT8nZDDzSY/RHP57WCRO0ZfsBLtc6PsZovHBgtFZGRW72dNjA/ORh7
XgHQ0VBSHRvmClS/nTmiyTJ7LMLgrA67QVZNiEMY6ky7zW4n0LR7+h/E55YTAkmEISdrDrylb27Z
JZvrzEz7ozkxEQG0xt7NRgqKQ1u9UAyI8+vai/d505v0OaZl2mH9SU9crslzCnG0JZw2s3DU5Ljr
3QzJowMPE9z2C7Lup7it+nAms/queGL9aOAle43sdd4nsv+Yg++NyHOyvR5r2hO9BFQT5QJezjFA
9mNZujeMVT1gmYQMkzRprHGphLk9Qoq0UudeG8ptQmbBCHXaTEOZeTq6WwInUuLkZm1vDS01Q8ec
tSvVS54HpZj3uYMkl5KX4evorULBCOz12vI6yYrNfkvzgO+JfarRXeV470KL2dmDB5DiFh45qLvN
Q3OqCyzITGgdYMPrHWg4kxiFIdK0xEsFmR9aYL39ma8EbD2qrJ3WVCBwYvQT1COPvdc8ARuFez7I
dTca9nQzGjiWCWToEYDp3M9yM+bjGS/DvTDeBoP53SvknkzThrAdrKuCKZakSKafyKXTAxTteD/N
cGJIoL7TKgvyZPk+IIymyUijYgOH+rWLT4nS9Mjm9AxeJvwH5o5VJMJmravkcBn67owyf57mmOXg
7DsmJpw0+15B9kNJmjBRRXSwIItzE55pkt7QCL/OavZfc5w+aep0BaTO3blZKdnKlZ/SZvE5E2Qf
fQZBIgblm9Wz6+YNXk/9aj4kItchHaqnVjHEvsKYGnr40CE31JRDkzGv183Yabtb5rMKifJ+ZVvK
huxFm2svTDdLOi1mp4FQs3wyerPZnvDqTwUnkFnZ8csE99vXNbf4jG7TvDZX9ek8ea5o3RN22YRU
omkxEfU2IFA1BDiH9ZGoCYLTuVnDSRAxqeRwgh4v+urzPm4q4gQ/7qVJ2BxUzeoDZay9aJBMHJ4z
ejQqbAcGr6krCWQqVXswwFEivs0QLpSs23pboiTMkTlNz944uJGoxofUZcXEwGh2SoUH5spRsF3n
6KoPGtWHqLM10kJO651HmD1o6bOw6idVYAY8WupDB6QIET++gVPazVcgU+pdpjoDzdPkHqOik1y0
f0ggm1AdcbfsVL39NCjia86ZljCa3uiLd4W/qMF8TS5u8omrcYmqmE/tia637XRF63gjBk680e1l
OFnuo5EB/lzKEwHGfL86c0sUaNzIlrhG0TycgTKbvBE6aa9PjMTP5UdPn4JRT9ewR8WPVLu1b80p
T+9VJjG/Zir3viJMDjThHAuTFQZlVDkwrlATYHFPGWDjPpuOiyFchZpSyabHslEAYLYsN30rXmUJ
mgRgLrAY2ddisNKBaNL5VlEMfQBPtG3SG06AaVhi765HijARY+rriG9SlmNg29aHItGiWB26o+bl
L5WSviSc9m3LOcQk4G1icJ3nE72fScK2cKfZ1mrCMrmNTRRHCTEBybUe5MaiBAoXDESFM7Na6gIi
FVkLQ3DzzmFqZj8k7ROYHfKFaZjuEsYU0MSqPGyc4yP0XvHVQmVy83+f74TdA9lhxM8vVS1QEpUp
OweD44KMHps31iTto+qUjQZhlAl9IXE97ZRg+7gvdNbwnBrrPyWI4B9tNntAK/kFLkOmvlcPCWMh
rCZvwWqpmDp+S1u+bONKz2U8VqeCU++8+sk3sYrHH4Fk9YUiBN+qsD+4+Lranv6AnTKpXszJlUvl
51aosswVJnzijTdWwxNZxHYGJqzPoWbeHgvPbVNI5EMLBInDDPwT/SFIPGp6u2RsYxQjRVA6EE+x
5bpSsMNlx5XXi76ugdnw8UsBqTw3CbAyRb9DwV9SNgGloKSTtkej5oWsdo64gUc0VubD+eyFzdyx
kuLHtxN/62/lBZsJcJpeDh4f9kUHb8zHDaK3iAiXRRJxg4Kt1fdPjaQomKvlGq6KJvgWPOV+LdYw
1cuBrUZ+tpovbiMfVTcDacr4R7iFGYOjKoHtOI9iTO5VfV7R8jvKAQEVGGUQ8j6guHsb9xowTj0B
cJ98OhcyzzmSo+k/sr5MX+y5xxGgtx80LKn2k9JrJ91e5itbziXUJY2AbtyCUnw9fKzhMvIlgSKl
t4i9FFoy5yRs0Az3w+D+QLzcXlddAy882aLANKsRWBnQMBI3Pgqmlv/9EjkdAfQoiF1tqgKXHM+8
yNIy4U3BspGUw3Wm+KobqEjYOkEXqqLP2VZK5ftx/g+8btpE0Pj2Y/1LUcz1aGYw3c3oKvXc10Ux
KC7YOehiiHIHKBIWf+mBCVROIbthyEPJYQnao+qPRWa8U646m61cFJJI32l9QzYwdWpJrz+aNxs2
iPCGyG1wF7XY1Pc5iP6NRlbuzVVCskeQEsTqiq7Lyu9rptA/elKPFmPWnt6+DX/2UyBsQK1xDOZR
Wd4XdeBBH3D5rCcRmdsmsBUMGAMlhO7mPmgtDFoTdte3P3L7epdfn1a4Y9KeULVf2tvfSs9GBc6m
pSgVdbHhBkWzuEGT8CetqB/nrh13qJNBZE0tAwDJWB7e/vS/vM30CSjQ0iQ9t7Je3/ySm2r0kBsA
uRKMCQo6fkVC8c4K/8ttpcqsWza2O39pU3Ga6gixrT5atcz0hxUVRZvP/yhLd9t5xdelx3rs7e+l
/e2LbaQMl/r2hqnVX38xHNISwpKyj5Is766RJ3lh1pvtkS2BUs7kgk8k5wA2RG3PTp7LuViiEZwZ
iPRm8Isx+7EWn9++ptdKi3NhdusjMly96Tz+WFxSKdrMUyXvmMj/qaW1/PwV/IqcGA9jodu3P27r
Ml6sLNw1AF9S9QeQT2L++hYMuqPYcSW6yM2c2xbE0b5S8LqtsVLzVaLmnTba38wi/yTV8ghY8FOb
2cpuzKabQRc/enfCpMbK1ndEBFtX9o/LQhVrsdR5te1zS+T3BQ9ufEmYK4dJOFKnKQiebabhw0FF
uIlPIHS+5pRSJPvC9JwMu5pHpIC6h4hdP2ntTGGKOA5djM6gUl3hWWobt5OGWq3P8+92d7B6pKyr
SQjSO0ejMx6QR78MScp8YzLkkJsS/H6p1DgQgpgcp7e0dR0FEHk45EXum2WfIzrdcmtVhfEf46nK
iCCE7q2UtbXtzgdbvqrt8e1HdsmcokOwdZItk74y3Bb7sp8LVGDuSQxllMSkC4vVJDDZE5SDE3br
0mlAoOOaTemgxNNvxMlz+5qUVvGnbrCld2HEMvMK5AcTqCupDkpgqXSJxi1uXgGAh12ZQIkVpdgx
pawzdP3ufnYWgbze0Bz0SDo4X0ZJVUvdnv9vz5daBvt8S7BJUIrXq+cqe2pqTOU4zM/qiDBSuzy5
ntUGWu40+ABmYTsxvvD2rfxz8TND4rG84GKjWTEv2s4oOw2JA20TMXBzpU/cGJ2VkFWj/c4H6X/u
NLQO0W4hKUUbA+vx9felCxI3uI0yzQrjJM+Je7RFbA4rffVSrB0VDoeqVLZVlxngr3eYBHIxgwfg
sWRaa5LpM2ajzxnjZyenJN8TpIDcXxHUW85YkbxT3z6hCadwCnLhoMTkLm/frb89NBp4NEAtR0XH
dNk5rshcdWZ5ZZR2JeyKAkestpqlX3ZEnSjzm8CYhh9bvrQIyk9Dk74spfvOjvXnBukgi6CfaDDd
86eaARvpzpGaJiOQlj8NjNJ8bgMfBljZn5b3Pk3f9r+LhbopgT36vgZiTvci8DBqrWfETpf0L6ck
FLJe9ltbcu30xPe0xKKAS0CNQJsjAnuNu3Ktn+q5Fjd2SXBvqsmzdLUFF5tmPYwk3vAbBJl5SWav
xN14kxvT3duP6c9z1HGwS6FR7Njs6JdCgtaanRKIkoywY0fH1DF6jEuAYNCD/IlSNuQ5tXinafmX
gJ9PY0UgIkZDhSj59fouCB2mutGx0sgpbDa1YZKIz4yn1ObMYEdPPTWpSjLa4dhRnrr2IG2ea4bU
24El6bUKW4cSQkyjaN8L/ORYANoVpRUtbIhmpUGKmWJ/sjes/gkqFNX0rSZSaSROOu3nsHe23Syz
qNdu7RdTH7IHQUbl442ZHswVHVwiGBRAmfapaPR1pyk09aRmuzuGgGWYOlswH09eBNABawOyuDN1
79zbqAsmTui5fd8yYTvr+bhZpUMR/2MomBBJ2U14YrIM336Uf902gLkh4KEnrKLZeH1bmd1kJtFk
20iWPr1HAEtRgPQl1C18/ygs15yBJLmZpz9TNqeabfGgq6lxmWCEslzZ7XTlLNSIznt9qU+0RpeM
+R2zw+qp7/Wv59amKTU4znRrr0ra3bdpzkN4+5v8GcC67K8EryhOVF21Lvb7NjFpwWKZGFUOh/Ew
o4Mune2VMNPxGjQCCCJ3Lb+abuzsDWcU75yZG8Xs4jV2ddOxDDQvyKEYN399Iz13Ft40V3WkFnTR
aqar7zVBvd8tqITDkTE/VxJieWak4ohtscooBifkjP8smzJ/Ahbb7AfVYYB/ZZlydtFRAmyyZ0j5
H5XZa7HUT/g9ARLf+g+UNjSFOl8850Eap+2TJbdugEWRPacoGanlVuObt3LuKrOHtpnMz2ph7aXq
ndoRZIRlr1aITSpV+8R74X8b0V1Rf5pdXkQwuZZIOLQb335If4kssDpCYqzh1sCpbG938bdTmUFn
UeVTWkcNTYpzgwDcNS1hjY6QzHgNwZtDyRVY2KhCZVaWiAFQDc0DCdmGNsyqDginWkgdnNYPxba/
NfajmcOrYPbxa0VHn2F2ehEO3mDR21f/577n6jYRBe+9Spp6mSIOAAW6ksJLhM1RpMX0F7etQixk
xedqVBGX7+x6fwTPwPfYBwySMpNIRnUuVhWzOPHSCjJBStsS1He/SVo5js+9mO78eAeaQiP7C0oO
RCPD1gYce0bBDLS6Qdu0IrAQs2wgi/c2j8uD8nxxmI1AvuQEdKzt5789THtx81wRlYjgGxuUBrkG
nCXpAvCciu2uvH37//Jx2yuOUsnQSCb+OHYYJ2BuqhbRZG2r1ilPi0JAZXasHXLH9zLiMwL394PZ
YY9jR0HRiZBNI3N8/fXSdqTb2GZplKapdfIypLIp3gL72QT83woG+CeQ/kFWQXZiTNg6ZBhtHTRN
qW5NMAFfJrP07vNxYPJuuOsYdAsau8eDehqbYOId3VNd6a4LV1aRN2HQIPsqO1VGjgfWWNLdXPsq
xNiLYvzY2lvv+gFrvfyYD0BD67xr9koNQAnvCXkghzFxLa2zaW+COvGxThqPczyFVCSboE0aMwJs
aFyh5VDoqIg7AFMmABfHiJgF5B7CdmN4S8nhmojkriJPDlemIfdF5br7IeUHqa48a5vaTgP28rAQ
qIVlAXDUgchyE28TjIKIjoogZKZdRp96X4nSuEKgaqEDE16+t8umCitpZldD3o4TSgsMLBhjMTCa
alzmibkGRcYJ9d2PsjfvkjTT9wrVYabqoRYJZdX+YU7AiOBjWO+8aMZloM7AB0EYo74kxMjwNvuR
39eylzTgHwtOeRQU7uGc9xgFqpGqU+lsE0vleqneyaapolhOAJfWhelTuT3AGgK620JHQdlDXO+0
Tr7PivR7oedGCD7Xhtwz2ZSURjMA95IDdNdohFdtFdJEMAH9cLddY1Uel3oyT9726/O6v+tT/dFy
UJtMs42SxBqMYGhLBpzyzn2n4HR5eCH744XiDSaOYaNRL5Y6O6dmGY1wIXesUQs+gxLRO2/v5eZ5
/ggHhaHlqYxI4dTy6gaThVkUAhIXwUAucTSk/Dq2I2mGXBGD9EbDvVHey4ougwI+lL3TJLghn2Db
uNihEsW1czttnbCpnSag+dX6clUb2m5CQzBAS08xrO5Yt2oMOFJ075S1tMvY3oHkTYCsE8BTT6Xi
8vpLL9hcjXlZO+GAvwt9+bzjaRvrHlM/PjC2vKP0ejdit3uk7CAiyDLjp7d3zbMC7tU2tl0DJXLw
By6i300g/vvK5rVpHb1V7DC3hbIfl6Y7lKbRkoirOCy0Y+b5Wal232A+xXC4HPO2nlGdVr3uflSE
s+7T0WEiaDLzcGDG8kntdG5l0xHdpTIsmcb7MGFyxsS1w9fpU+fUYM0Ot2NqPusJqoTdXGlZNHn9
veEkktk+pXgn+LK25PbVdySApWRqY0NF4Zqz+fV3BORhmw1HaDjwVp0mo51DVSYa1Ml6vDp/CY/h
tHt1SpxTl/IDGo+x763qui80tCMrIdjeoBbhG2mcHLwkBXBW5wrvtdoxhau/SLQYB2VkHGpwmXfP
EuNB6KURyDYbr9Y1ZRS2saGPWqsb2bMz0tVmttXKc9QcNmRxu19R+NRbj71SwlLq677dBtuZOw9F
23S3M/8ylBB4dmmafFgwbvDteCrul1V+XtvcYBMarqxp4GJNtdglTTre6JnTPyn1v0yumKpIftb3
v+7b7y5ixh8nLbeTIjyaSodSsHGZa0nPi7OVvClMREvtZFBa38nHU5ZMH0sGxJngNDVGhjGNzewl
9nUqXn5uSRdIEPhELCpzsCm84IXHa5ZXI9RKkeCauuTQFzEjvea3QCDDrpqOsFkdKCQNO266HYGu
+b7m0rsmy1N9FWgRDZXODBu9qRD16a2v2PVnvPiwf5iVx5KC9F6s+ES+/dKYf+xWzFWSbVI2smAZ
Uy59vaDyrF/ghRZWiOngcAfozPhHnyeaYFw4PNTBhcFYu33UT7MSGkrJjPvapNcaKECYGJjn5Snk
PoxWy09Zssk7Ml47wTQ3pnJWroT6JFmYNh6JLeK4vdqyRpa+zn0tc3N/AJYcLO0QzUuqoSUwP06j
8QThEJtBz/kYp9kPcp0B/kQ7QMFUHExt5HgDnNy9B4aoB2kBJxHDcNLxKpX7cpr7yKY2EJm0/EIa
kyz0kY+cvcJ4p4bzt7VD58Kk6M2+80dQuMxZSo+StcPo2wvTBu799q60g8x94ETjO2Vc54+TC/cC
zL+IIijXgPG4CJDLgVqVOvTssMip9jl96CeEZem1XCvNV1cAzYYa57ewvtJr3W3Z8FrCL5i6K6yt
hggerByeLeOX0YtPU2LfxKvVhRoqHzh8S5LX+2bhvR5zJK/8XRi69rpXPNZlm3N86BNvM2H7S901
64NeI+bTGiDwWl13h8HgHQAhXJ3yTrUDAS0pxJRr+jSNRfuBhj+Ojno6PsgsgwWvo9MQpkaJy16b
ADPh8QYxl3ekI/vQMx9z8MTCzrF6A6CByjm1TFfcTCrbcieFCLvtcuiYFlsgPn6yFtZWN3LMgNty
S9/SMesBabd5Fyv5rQ79FqZVBfQrdqDI4SWLM0BaK6HXAmnFPV0JsQBlM3I0O0ipBRGB8kKs77xo
f1ktLBJqMZsefTslX79nnW0XooTgGrotopzc4v61YFr8tTbrvWPxQrz9Yv/5eXQVUaQTYpGoW5dZ
ui0qlMFrbYVFWRKASN4GZHPeEc2RewAg2LzzNmh/BpakbeexVhJemnnedkW/JUku8rZGTxIzRMdk
BBnAEQosrn3KShpR1aqm13hBZkHS2aHEqOrQdmwXNpyOAFyWBnS8ohUwYbc0kzkDD+GgUkcetVqb
LaIErY9kw1fJ7Lr9UHZs11a1He5WjPXmmhX3OFp9w3JWw7rAilFcs+hsrfiGfrEJgD6zvcPl2yfU
Jh8ZiO2Oq+3eFGMqQroML/g4A9WZrBfhFN/0lGtX1H4OFzder6lr6YE2zBRW6vYRRA47lcLOfz5a
pSDUat0kfUJRZgReieBeQ+SLRoS3yfM4JVOW4HWdFur11Jt9BOWN07TE4z2RxCUCcro/lDB51e1d
XXT2j7Yc8GVf2d/EyDpfcXvbi7btDiiLOXsE224nZPM5A5EWct+MoMDijoaFU4OO5qz3lJQuwML8
+a+fFqx3plaVEA4B2XyNMmQ/6FPjz0gLdst26uapDkAuEw4vC9tFpk3EA/28chPn7pj2qnujNTTw
h4L/9PrEPXQObyiYYp5TQgRRxR5z7zXibzTffdQmXXubaaiIqj6uORf4mgpIv9tRWVdw1VoXDEtt
R8woeUe9zLh3heVGxWp/shfne4le1wdorh95O8cTMzVGwA7GKrYWNwKSS8iSEUafX3dsczEK68Cc
KAqngAQO6Kcl9z/1jJ6kncdxfrv+v819/jdkj2nwwTR7k5f8v30T/hdU32/f02/F/7hvv/342aW/
T3L+1y/41yin858QxTCtdA0YIDgfEI9PP7v+f/4HFpjMAeGtZWmXNDLcFdhD+Ns605om7Z3/O8mp
2/9JJ9fdposRwtA81/8dGhmJBdvR75E0Egj05UyMMggGQu1ytrpJSrlkHErHNsuS/DCsnbhzOmvo
9wC0MV6f56HID2VRyWHn4DjY7zK3Gpp97aT6kbpYHmDY2h7XtLLsG01lQmY3zhn/j6Ykw+5AAlxK
XCZoAmykccSrbQZdrFZXA+p5RnJbW1aZwUFY5Fe7UDEkq7UMuD2neUIeDfzJDZjvdD53E1uq1jsw
dFw89tRlAoCdueazXBchgpgUhH4tHuwFiNzE3XwbvOnB0zDIOcw1NQpfn1Vg+s2c4y+OLAzlMRRT
997QG/AyppSMfiyWltxUqmE+EOfJeCeaEcqjlk84zTVKA4QM/J/6kmZqvSKXcHnTTVMxP1RpbDKP
FpfJU8P8FpoSN16+G7bS38u8iDfFZYWdWC5BJRmtOX5L824+Wq5VUteSdvYV3UcHrhtyLUpYVaVP
YLf7qdTtowYYfWdUxKwgyysd7jbDCo+9rS9PtI/cflfhLd3TQa6zA4A70gVjbUGCmkteWoHsHONG
L7XpZppX5doocQTGrSBbb42sHLSPOmcUXB4Yr0kIXcPwvgC+b45LA1suKDxYQj4YVL2JlllT8D8o
kr7Njk3XWeodiPdJiqBZjc4Lc+Yg3MeO8ZAtHqG7GzOe+UTvk1nKZdxuVnoc+hQnxUpOAb/GvMao
qjm4wi2XO40hosQH4Dlqd4nj0nkGrDn5+ZQ3eGBvhkyDOn/oM/UlXxqcvwUyqol9Dugd1WFqSPqu
bTSdWZ1u8UdcHW45mvGqMzKL0QezDzOhLagHEajDKrAnNLje4HyksHqcpKIx2bjZASnFUAZmHn8k
tErwVR2/6NIgs7HpgrI+EPRZPzSYp9XYHieAlpFSqOXW24GXTDwRGBTwbhLdqK5sls0HjJmVo42J
nZ8bJreuaVz8BMttFFpeDTZig0QxfdtlTHKN3RsSFPgbJswI2LrNqUhBAeqqmf4wx66IXLMqv2S9
Vd2OhrAOw7gNUYGfRj6fDjtr7JI74UonANxVf3Bas76lj0p/XlhrsNJh2wRlavwpKeaPogehtmAb
f1yGCQS+47RX0k6RGHh1vHdmEOhmnTO1nRs4VmuCgClhGDfR49COCxhKFWhS9FTabowpJWj9cNPQ
HwbYnVJpyRdreCxSeT/KFmWLuk470MhIdOEn38UpdGJrXXpiFRRdFvD52tI5xlo/WcYPZKlwWB3l
Y1XJn8OQ3Qv0FTvA1iIo+r73q7xz7vDHS54SF5vDdENeN4RJT1RzJZuR8YhThm8scBGsMv5RaLC7
4Hvec9KqP9s8Y6XX8lrazkBR0+4ZmgO11or5xan664EGqt9MCk9eGqWvlGJVEAZvBg5Dj7zBYpLb
gDZoZCQf61J3pzxVHIbCysIn0Z/9yXHQ4i7W+qRw3WGexyt5mdlEhpFPN7g4ogh3FdD0Vv3R7uP8
qgBZy0xGMZIdtk6A0QpmssZcPbRd1gWaAyCVVvB6i24JmPACxf+QajG4Vwq1wx7/dUP1TRNPpgUu
87hTY335nOV4PeJ9MN3i7CEDHCRE4KWW9b1v2hfZGMZeHdzmarZjI0y1yQtI6jMfXFx5bwE7Y+Ku
069mlKHPtayqUCV35csD+7s3ezVBnAtdiZXATtgj5QmspXG/TJ6e/JBiRIr826n6l7qEfW7ivTqd
gCBsig6VHvCWNlzUKWusR9I8VdOjq3cjEG5tKu19j3nMXceMyaep7k32uJrJgslo4AJXQDMeq0ZZ
qJ4U2BngM5yfqLJqYOZ7Cw2DDuKH4SiePuJ9jWNqUic4VakTk0DT4C1BtLlaerSG0p3uZub3oVGJ
dfrc2Yb4sDCFZOAT4NmjdS2z1b1Z10Hcp27KFtXIGPe13DCg2uk9QHND3wKz1P4iuqVGISsWJH0O
88o70B2g3mOHMQUvFt1xmpwlGtjfr9dEmcMi/YUEng903j0sTymeuzqxnVEwQUZ5of8MakXubbBl
jMBTSCeUheLTE4fQhLZyRN2cW71bU4lHyujbUNyXg2u3CsD4USMdjRCxwm2ZGb07tOpilSfHzPDC
a+1kR8dN+YnCa7nqOt08Fji7rn5rqsoHIWwZzHVv3ZVLZ9x3cMI/MvEdrEZL/pCBf9KqdRuRzbX6
Dgtdy3fRmN8hIbW+VIo09vh6Yo5QNDTH+wqHIJWGqVTTPjQS92NquZXfMSH6v9k7s964rbVL/5e+
Z8B5ALq/C7LmUlVJJVmDbwhJtsnNmZszf30/VJyT2CfJ+XLXDXzAQQ4Cx1ZZIvew3rWelUzH3mtf
y1bbdjEJBR1N/lwlb33PLZpSlptS435jIXSumEg111hNyY2VfOM4bwRFp+KrQllXdmD/xCvHdTzc
8Cb9zukPrVJc9aET5zjMY8zfhn3bi3jnIM7u2VZSNCg7e5ROVYY+LL56Pzsdd4+pauiOiAjFECUo
npOJcJKqV2/jEFuBlCZ5pZkIrsazeamdWrsXkfXuYFW4lnSBfsPF0p2b1mqijeLGjRK4XNjmvdtp
JnDXnvKSL9lkVs/owWhkbkoj15aYu3Wu5orKUGe0rPHJm0etW3m5Wr1O+HReqFcx53srVHRQ9bi0
poC28vpFM6L47FatcRZxYb8NSUgzedUzTYjgS75x1Wuwudv9EBRaa209BRSXEzsENvPEvjcMpX0H
6kzmVPfye70YO9pNGdBuLeCnQVZ31gnIrDx1Zef1zGqL6LMFFP2qmq15yhLWm7oe2Oe7IVrZJixU
21bchxqlwzeFYb9yqqWAFWtBpO0Gtc4OYoCiyE8TSI4PBTq9DkU9DAFjLkOsKbAVKhegxRtncuBo
1ix2FKOn41itIlYsnJNy7uqAuWl0ztvI49upJ2z7DjZ2Jsj1dSqT/GnRk79SxdDtOHrR8k4lMDOd
Ck41EGodgrPbUUs8eTOrn0vYbj0ws3+0LTIb6ZQa59LM+2uUeN5z13BzFrmJXiLD6DorNNn5BvUV
93yM9EGbZ366tWBrms1MPdjuADO8Ni0C4m7j3MRp1heB9GprDRSjWetSf5lISh0QXkhPqFOavGSw
/J+ncPjWV52iBprW9ztNLTag29m6Biuxtmk6jZ/xZskYKiy2KEBTbv5KtrW/16rMfA5HB/6onvdh
ReWy7lJYSYBthzJkfJ5TcsRsSsoLZN/kKrTQe62aenzQzEW6QnRPkfB1ajo5hcMRBF+drdGgdTri
y7TbCGO23zvbTHaV0rXoV+jl49rqUmqStRLRODDHlmIMiOj0IYIF8IswodZbL8L0qJhJfTI7Z1ip
QF2/qLREYwttG/eJG7tsMe7pinEsUz3ipqGr0bPeDRNsy2oUeVApksloy2bxgn6U31uDm+6HkOiZ
GeFZJIdjIoKZYQGYAnC/QXeD1xxY9AC9qHQ9ZCsamPOJqp1B/9w61ZTuRnOI36gd4dKch1l/qqgf
8Gs9JESTpU4zH13O2ColldFxGlleNrhOnC9RjNc/FHZ3iBNdplvmUvMjsTGd/p0WniadLsqnorHi
W3pC3Ldy1Np7En2IjMsjyeUpHTMegoiXMIdzxytf84wEEm3qhsAMaCuyytx/xnyI/LaN8sxHto5u
iQ7MD60qlMuUjCz2jhpjmRvnTPnWdmZBnCyn3Z70rWqdqSZDxGOo2Z9qgm4vc2wYb8iMExm9RK+/
QhVN91pthyntUnX0XIwo15sUjyq8FdP8pou+X5EQyOp13gqC9rVwaEcDqNn7MknrRw2340Dd10hd
j6K6pc8mSjEX5QQw6pVmZNYXU/XVyMS7IFZ6V74/xXloNU6ddiNf8nqg7Tk0CgiGHF4qMLd19ZK3
JQ11udt2MggVYa21aBj3kq7OrZGzAqwSC/kkSDCrRH5SjeWF0Le4dEKPdrViNC64+8jYyQKeXZA5
WU8sOUlbnVoiE12okK33SGgMjDWNEp80kFpv3GOM0k9GYZp+XUz2xKMg5FlO44TQ1pLBmuTwrKvq
fa+09UPe10CWO7w/F8gOannbp2O862fdeiX66/BLU9aeRaSP+9oaYI+NevPc1UbzbYxUN18pQ+ne
lyqprdlMwNIPGTsR7Pl4D6kyxkXruPExIpyWbjgIK6eoxNe86Sql2McoTIwMjPiT7G39MBVGKw8p
HIoEJBsgQz+iNuUMQFpeHJdYQwZMHGZBPvokAZq9Q7vZC1id8V5y3BpXGvHjPVclO9poo5Ht8eDn
ckPLeb6aO55Oso9T6VxqjfnLihiBGsz0723VejBe+6mQe4gE5VnVUlpSPAcQvinNAWKyWXECixEn
KUWrlfFWkfC3RWYN7w5F11+iKlOwbCVuTk0ixl1OrKwTr1xne8JLRetQogQ+vy8UHQHCGhyORcn0
GA1Jpvl8i+mJ8Txa1enri2F95H3K8bfmxZ6CqJ+NleK49T6Zu/bBtLJEgwkxomyrmQFhOyLNT+Oc
WZ9chaIxhnhLfrwbn6vSCNNLruQ2z7Bc1s1KqJOxYj03wDYwsroFTskpoOcmLLZjbU6cL5xyhnvB
qQgjjF6ucW8PPMyZR+lS3Ubvs5yNY+O6qbomZjITMswjagNzJo9HfFe16hsD/ODDkPVKtAd6I+M1
2dHpc+VxbFNpcPw01l791UoHlyoXr3iyrDR+9Iq+m/xeV4ftoCpLESKCqm2P3X4qYjeYSV1+S7Vh
4kaMbZLwa15kY1A3br+atLDBamgpW7akesWMgXucymUs1x2u+RFiCgYxx3o38covub7Kepg9Deef
ziUy8uyDg69hM2UMkkCCzPc06KjnDHVmpStp6XthM4JSH5Py2the+F7OFX55S9b3mTpO7NlN023o
M1K4L7aGuM6IUgzK4+zJ9JT+nMH8figrp8APNhOD4nutXoSDw84rqvDUZKp16HnhH6aWo79UsmkX
OSOEKTEW30rXKS6WLq0HHntOwol50FC196MWts9R25vH3NbmozNrOEgto9vjzofD0BrFVk9rv3Gs
e87k8g7bdn0EtID/pzPKXWoL+0XlJ/cWGgkk5l61Nr0w5SqctfSm6gpx2zhTgExl+viY88gfdHSG
JtSjb64Zfwox/e1Mq1rnMjNw2VFQWHLPXE+GJW9gEbx4PXySOm2GrRdTlsfIiNS+jd8I2fzJY8FC
Xq6GvdWId81hMoBaAWxNJtTdGGBDLL076DGFwKBXs2PoJrC1i1gEkTZmn3EDF6fZrDOfaiDJh8ya
HQaWdscMFyBvCwuav0+zcYRprPAheiWb599f4/7NFaFadMWqjONNulU0zf5puKqw/BYDC8le74XO
sXM5pblGGZ2roTCHwOIRmgKcCJpfQZvepFPn7AHLhf8x8fZvg2585jb2rkVb5f+ofvlxOCO7kEAp
hOv9JO1t0jftG9L4ABuoN73m4rqFZt+mKnH5NSCU4dpPJfc/iBMt49me9zs2+8dhBPn41E+6jDZ5
4qGfGbGV16+2hSN4ZTaK9USHU3bLUJ3vPAUpz24NDdj4EOTyodfenGIsikDn1viE/AGHum2Ne70f
lHcZhxy8Ozf65KhGt3RBROK5FcYShutNilYEogDAhSdXRjwoIh7vAM0nUFyI/qynWU2PoAfkyphK
g4OEEV0GYrdBi13p6jj5dMRbbJy6LGI7LKxsY4zZs26U6h2dfgeHmqVAX0RLZ5Evqw8lk2QIK6SC
3zteI7la1+pD9ow+JFDMXuq36kMY1aks/EIYyb0drVRe52jWnjAS1pTNAqJB/loO7GNrdfDFIldA
Mc6oYY0NntPs43SvfZz0vY9TP8B5bgCiT6d3q5CsnUzALpSOcU/Q2tLYhUQD/JaspI6VbLlOoCbZ
r1gYMt+iE3KvhPonBiTdvhplhCseJTSdaddUEq9c/ArcWfAicH1xl5tMvtxpCNnzr8s9B9xoG6/d
mf05KSfYHdrAjWi5G7nLLSkGJruSVU6pVy3RKBdFNGA1Ud6yj0vWuNy3QBnbb95yB9OX29ikIG/X
UCqokyNZTgDMi/X53raa9MXSs+oVrjWNQAU8ohGSa803ySoz69zO3C+3A0h83IJeXT3LsLKLL0ps
d2IdW130rTWILd3+/fuq/1ssA7kFYiHxQJ35BOXhP3m3usJOepgV3V5w1jpVyhgBr6EtqJFGui+W
QrLalfkQhF0ZrkdJQ3pWhjfxWJJZVeyBBGwb1ahps7LUAilF5Rd5Oly59ZTFykQnfWZkXVH1KIz6
3hzAPFQ6RPdoEgOp3PGC0fAykJUGJTBo/Y1GoK5loDCG7/g+jQ1gSXtvx3V6B2ltRNK36aGwtfvK
iLEyhrcg6ghnhxGGDCPcaGp0zztunEkJn7iYEc9WTLVnxVPhHKPXdWzZtWvvYlFbMDdsDqjsHequ
r5zs1qbf6pbMBl6+0rSiB6xnxTYCu7MGZE1/NMj/Ae0NJtaZxaW+dWUDkIWTTEsTQwVZhnXVoyRu
zNLDXKt5HXQaRAcu4FXxxekabBup23GQtNpb3etpMYjovSuNpF+8RdnKI51KRW7mhC8xU4WXkVqn
Ihgo5d2EbRpvBTH9lF3XdJhZJC31IFO0K1yLV86kGYm/nyTUMOVJ/yUPPVpR6NcLt9yEC7EaG29a
jJ6YDH2n672drcrwjiZHCg/h/uC7jMQ6DAvlOqKMoBQI8PHC6g9ZgjNCV4V2RlqceSo5dGaJNx4x
ySqfPVhwa/64lvmwW1xTkbg6Om9Vf1KnkDeAmKlPRTKaGZOceGN3HVvabPWbiaTZS69r4kGJG/2x
TjA/kr9V46Dsa5amcUju5qZdOg9M42ixSgWm47RrqjYq0iAATJxYSz4VakMgJo09XO/ES5f6OdWk
ua21wxsiUurWdmKV99pLjJsqL+89bwBvkyFQ2B87EeYu885WZEQN5JjlyDtqF/q0uLXubZGGwAKr
ZYikfcyTtHbs5iD8mDOpy8hJourOzLSXSVTYZEylPEHz99ou9DftY2rlMb/SPyZZDVaXDQNoh37V
ZdJVQKmnrUYMC8KB1btYsbpVLxHqntgZ2JYiiusqTV0v+9gXs6Noj9u37tYcBJi2JctA26/kyD+5
GRj2CWqd3Ev6NdfDYGl7XFUt5+ra5HLdUezY+bCp0mSXuHbD/BsBw1pJoZVHozM4T9Qfmu64yLsw
7p9rt8La20bU7opnMOW8IHrCZMgRhzqccfD3nrOptLJbPjWYFyalxzFmRNQopbWr0ql5/fuFyvp5
duloHCxYpEyIuBjXltnmH6wWKso8fZGcK7wIeIR3qVN5U/V3H1/kH824T+Jd0jnwrf3fP0ysP2qg
/tWd9V8PZc7/fv5PfvgdNEV9/8ILKPiHf1nTBNtOd91XOV2/Nl3W/lYytfyX/91f/I4efpgq0MOv
X3JRrAT0M/He/jyidoyl4uqvZ9yr1y/y9Vdq8WsEs3j32n/NxJ//Kb8Ouh3jF93A08PJysF/ii3z
t0G3o//iaSZ2GMPhJMh2wgj8t94t9Rd8soROLcPSLFvnR9yUDAL/z//S1V9UA3e2SukWs278KP9k
0P2TD4hpOqRGh3Sryidh3vXTwS9JWppWwixcD+jJSTJubTPeaI0O0tHc/uH79CdTi5/pyPzdSaAu
np7FTblYcX98LKOcjieiCyG0yXIDtuI65fWuSZ1NgQ9p9uoX6G5BOzx5xkZx5kuUz2oQG88cynxd
jMcxqzYsFrv/8Kl+ell+/VSGvrwwfLwPh8MfX5awEqWHIz9cV/Tmtmm9zyhRDAbd2WgcJWfUQkfJ
A1tizYK4xOV/NYUmBLQIOm0bmHr163v1l6ZT5JEfX9/lE7k67QsWe7MJ7vqnU0YeO5UCaS5cN3MX
bzkA7LEsmVcmi+FljFGDK0vJLlXWw8Qa7ZnoHonodraAJae9uVgOPiuysO7CVstYsdzwaJpiz91x
U4HRWhnF8NkZ37OpWPUcH+yyONkU+YD+H9EZJmrBdDqTKHpYG40aYHbyG4g6dTmv6JgMiEScVOpO
0Rk2lVmskozjN+JnF4uDrVwHvbzOYb7SufeaNWkud8Iq1RGSg8en6ofIZpOty5vG1nfcvv1aPjOW
3CuA6ef+TSmODCHZoQfjUE1+ppu71Hvsu/6p71LwmROpwmp09mb7CLoVBBfCe19uDcCUeZNx9I3u
ZrY1JzlnrhXgag5ca4LlQs1oDLvSpC4nzG4mC/tuXxwMw9mMjbGzsVNgsWo3deJOm6USDUPwitwN
lkGmtKY89bG9wQU2os66Jl8zGwDn9xujLpmFPNmud8BUEDgFumFmYYFC7xX9hlsnTr5yJ5shiLKG
bw9fxjNXVT1cS2lhwmD3VIxd19q5Pw89Pj+SyIlcaTXEs4te1DcFoqsQbjAwbVRV71CZvJm9u1YT
JrHiPh3KnSLPDDk2XItfe7gcpvlGC9znpnln5ofDpMYs4l0aTMTedCtksXMhHuaus0H8CqKw6c6w
wqt70YafI1oBTjgezJVDMkapkuEK4Yj+8YhHS29D75bBSvkeGfSC+hUFZAGH1SRGE8++Nggsd/oc
la+eIZylBX15aULbR0WP985g3jtap3+yU72ncC2i1bdf8AKGF20Z8iHNYnKJHvMqLaCPGqGPu4HJ
OZg8ZNyQoeO9y+13o9mNs2olypNfDHhn+BT2+GrJKdsVVt7B1ar76BT3lbhhp75YsrHv5Nw711bP
vxd1/KP97893th+o/f+9LXL7tVyw+M3/H5skj/+SSP/rTfL0Woiqkz/tit9/23f7l/kLKAyVhBFJ
WY4rS470u/2LXRF+NYR6+DOYYR1W7N92ResXGAakk9BLMKVzxPl9WzR+AZkC30Bl31xCJvY/2RYh
cvy4CGPBtfgyRN88y1I1zO8/blZW3SAxMz/dJVLkO1raqKMU3sFsZ465bUQmnVnGQ8psegsV0Qqi
eB4/5U2LSUMTT/Tj1SeldudrFObj0dGH/tr0Jmi1nBdy1mJfG0yMSWOpbjA7RbUfy/DR1N38RDJt
T00qCWnk1yNEzKsCD5KVYozfLCWdMbUkiCR9dpu4ZN58GgtT5huUoTFq70y2TuFhoLTs/sGjcykY
wzZkdZmqk0zMMV5Z9USZD719REjDhNbY1NkphWdaO6/xxnu8PvGzqKqv2DwKZxURSMJeK5LPQk/e
cDSoO6YB56SgHiSNs/Q4cAddNYYJes6cvqlKASSoK2piHFyyGiSGa8KkhC3C2k1UZPtDvphehEVl
rBxwHtcCvmgsnvsxsf0EC04GkG7h/zVDjYRn7FUohY8JPRFwzLpoI3FtBQ2PSOoPbV5d1SH5MliN
iZoREsiIJ5w0mjo0DL3Uz7k2YqWBDtaDycUiAJcluu+HEerUoNz3nZPd9ZmtbLPBCotVZYbqHaq6
W/lmNMQZFi8NyJLG8tLAcIQLRAtmis8ko6p0J1pOraFO7KGtzRw7DuvtCvAjG1tWYWHayznLjtWY
tckmnPUUKiZ0svA4Q4HvN7GreMe+bLqnVpchpOTabuKtNxGiqVvCy37szbW96i3iF8woaHqDZMsA
E56Bqb7btTFSTTgWPRe5xgGb7tRoKD24P9QuZfJIP+BJ8HNuNDDyMDr2/jDMHh5BGHnPbWPL04xQ
zFSuTKJFEQ3NSww2QFu1g4IdqKUjRlSMHeF09xdqzRrtbkoxTgRe0kDbU02HPvHB1EAQeFIbhmsi
nRC7wMTQ9cATZnChdqNoXjVOrcPCG1ChK5EfHToXonU7VbLaErxo+JkzvD20TVp7/qBJa1hMGXf4
7vcMB6BEEiXFn5auW7XNVz1yqk91QLQ2jTPu9uescW7HZKHjCVUPGiF3cWtScinVUwY4dFEhrrDp
3sLKvEe9WU+aOZ2FZ+ysHLjf0NU3SQT8My2RTeBI9AgyS9Sc4oSglSU/Mn0g3pXTGB2pqXErJkP5
yuO8KoEVeb16q7d4xovRvVNVvBvlMPqcYdWNl+vVir/qN2O+y9t+1bj8Hkgaz7miJ3eNqu4xlonV
IGVKMYNjBnqT2KsyVb6YIkuhaSmhbyvNrWtPq4ZMmV8P6HW95Ua7DPGDfTN+yI0+ZtztJP6QGYz4
8CL4ts0Q15twv2h52QQT/i78PaXyappYP2rKJwsqOGekGR8RZ9FDVI5gpbFymD7XAaJtiZeoKE+q
SOzP3hTdQ00UK4HJZjuEwMD7LtmkZuauNMNpAwQK5302Z2rmtGmtuWNzo+sJc8XQpa8+C/e95dyz
9J2AB0e+UU86MzmADsiOU5JlGxO7xrb25Dav3G7LufhLxnCFM+30NUrDixEP2INm0mxm4z4oc699
HVo3fevm6Nsfdqc/uZroH5i83w1VrkmB1xKcoznKIJrp/NzPV1Qj5jHYuDslgtkQ52RQvDljuBuN
lXWJS5u3RJk7hhUWA4mTWo7imVAMpqmx7zk+Mx2LWScJv9qcqDkqJXrVLVpYKieeS+GCB9ZSyKuL
ePtYykJ7x4/J+6zJgeAN5d5O7Wf5LO3VRPqBGvJK9odUi7kBxBGiy15qFosFw55jPyU9ubqP1UT5
WFnqj1WmWRYcFOBYwVI6OfqO95JJtQSN63cqxgy8dsmVJt3JwXWpOntZ1yxTgx2962EFBbKNqH+1
u5uMUdiABWjT0STFlLi/wW85HC21OOpJGh+NMEnWuEPGAC9MDJI+8gK9YC6PmeZKwz1uBZazG5qQ
lzJWyii8voUeXQpmkmO4ZbCtH1Dx268avYhMbCMKaw0CEOu0qQl8NylpCqYQpdcF9ixoJgln3hZb
TSRPNxfpMgCjkaT3Ymq04TihhwVZMlh+DHSbKBfGfm4olB17UfEY1958y0EUip6an0UpkyOVm+Yt
rgDGjm4YFS8sCkzEa2feWKDIyTsSducHWicXfCbulwhxnnB7ciezUj/YKtpCGeWJdiIsn55zTzhY
EWSrJkEGsVTc5K5uH+NRcS5YT5St08fmuxv2ypZUSHuLKyn0SyeK3sNa8LYy2+8+TxarV+/2+oWz
rnonSHXg99bezCykMXJs8jXYrRoeVk7z3eJsELhDsxw2hVZDHB4aiU6p9Ec3gkdij5JcPVPmgGu8
kJrr1+10U7XWcxzNFGxpyRPWNYg5qUBQxSu0xnrV+3qlPeReW8I0HHcYZUFwZbB4RuNLpGrDxq6V
d+CXRewXprat4vZgEO9GVrzJdO3Y5OFTGNGKXMd7xLY3oWGZLL2z2vd4xLrO2oxz92WpvT+T6Pla
mpEH2rUyV/QpyQ1FuO4O/M8rTqDmEC83lMZO4y8TCuSht93mLi/1aY+7esbZgNia5ykhj75557DI
ldQyvvTmUj6RSzsgYUlLgibE0cTJM2PU2FKJrJ2L2jsl1GEG1Afr66JQJvAnWrmBahYGddcUIODl
HNhVx8ChzwjzsFrBil23LkXMJLPKqmlPc0V57DRP09YxqybIR/0eLv94yjRNEFPR6e/RJvoNGg3O
7ehod1QxNGSPojVqt9gzV8yCaKAkANwq+iCFk/pAxXNmfgWsj/zZadU32JvAi+DCb8xuLrnZYmgx
qDZf68KKVomR0jc8jMvEtdMnhG+HrKw9TvqTM3Vt5fcyV5+FJdpHUNoqgCuRJN8Yg2ILyUMQa0lH
NR3BGHoOt4rs4mhd1jI/hsseLZfdOv3YuKuPTRxsJxu6gedW7NyPjb7/2PTnjwPAYvwj1vxxMDA/
Dgn2cl6Il5PDxwr9P7et/yxJcm1agsd/fdta/atIDVfIv9+5lt/8XYlc9Ebwi0sqlavSB7Dq1zuX
o/4C4+IPIiXXnd/uXOov/ApYCKQx4Ajwe3+/cyFS4nojqIOyh4cWG/Jv4uz3TRdd9y+FL2+RpX/f
g/lMrmuYOnswWzHVUipf6I9KHBhn4DyFZgKiE986xz470tpWtveQhFWKg5jkxQTnpFfCB0xE9NbY
L46Mtp33OR4QjTQlOobx/Jh29hY61UajwCK5Acd0aOlTG51sHYX9CYrtY61jN1g2u9naJrPcqVVQ
xkgnWXXUZGB37gYH8TqBLJglcodHYJ/axp0trbNlG9uhNu/MUINt4i+oyjGKN1PlwTeq712lup9H
4Kg2zruYpRTbdNa+zdn9FBEByDGLjvbGMYeTU7m4LPIbrTLPhTk+Vgb8i7a4JeO0pjiaxZ2TMbLW
pIcPM8DhlRuaD40dUeecXPLQZDAVeznqk1yqLnufS9ZdGzk7o2qwtVj951Z6sH3lc2LyLYtUkw4D
e89IbM197Z1h4aqu8huTtoA/PHl/cpL6eUT66w9xGZNiIuD6/PO9eSKb3sSqYoJOrVfY9j74NNFQ
X6xpujgSAE8cp0E6O2sFDHTPT+bvP8DPifUPRVsFTGQD8Vgy0T/lTCkacvGFUSbHysRQSNy4ndyM
Kg6pfrKYd8f6xQxTe9uF821Sz499IYwbNHhln9uwHB3/64R5bDOj+ELvN8TG0cJ8HZbzzZjJHVbW
NLBdrndqiyEIniDjyCxfbTFyMFuTgN8Ada4HcHnA+m2/LENrF3rGsR4J/2CnZ0bV6O8T7iaf6NFd
RwHm3BAZ5d17Mmr9GDrjyU3ox8T4eCjrKvq12fcfLaT/PU3qL/+r5Wv9a7rz/8zkZlkm/3ZyE8SU
SwpmNvGfrJH8zu9rpP3LR52qSWMfN0h7AeB8XyMpi2TmT/CCUQF86N9lKYMlktof1kGmCAs6mdXz
+7SGX0LB0oCHQuPQbBXyyk9L4t8tkdoi/f9xiVywiMuZxuNTUIz3M6y1i20nV/Nk2tqDrD/l0Fye
a4dsnquHJBATT44v5E/ewlSTX11pFJ+HJfll93Hcrc1moDK5L+XasRTvWWp9eejzKlpprsi+WFnU
Pf3Pnv0xjPxPe7atLZnWhRv+15v2w1e6TqPX4vWHh/H33/nr0+hqv5A/tZdpGX/ex7Dvt6fRYaqI
OZWmNzb0XyeE33dszWObR0DlcbSWbmCXJfD746hZqKSMFZdbElqJRUHyP3gc+RN/eh5taBMaWB8G
zgRvkWt/3LJFShELKa5o06jt1Wbf3lHxrAclE4MNTSbDVyYqdDMwf9x1ZY6ZbcyaDdMUhi5zbmy8
Mino/gDERGORNlh3DbO3jUajzh75JfcRGMezE0KjMNzIwb7klZvWDa0vUg/LzZyNCYmJsWrfGhGS
Eky4kZFiGoX9bFta/NhWRXNa+hUkafZWhGSCVPfowIzbi2FoocdFlpftgBAtU5JBImiYOGatYniH
+yLXU+Ee3XTon20CA4FVAqshZkrVGVuJY+6k7YoNFrYqhcgCy5pia0wWOReDoKhtzNx6Nnr0a5iu
UgSFF+UXhqpmSXWAVhWrWPGsUxe6otiOvPGf8HP1L6SlZzYOR7QAkZKQNjExZsQdiTVAOrZxTKVy
YG6ijOSRWtjDlzbL+kemfXQ5p1KoR+yh3GSG6axNWr8TWjO8l2qef1aMrMHKmTXNpU1HJV4NRdYH
U6ZZj6E6GDctAZeHOHXUhaOTxr4NG5K8az/c9dyR19KIoi/uRI6Fxrpx+eCZsWFasyUGQ3Vc6cpd
2VGTpWaCQmZ+zMWb3VXWnrOAKf0edY4PCbTXh8hWQrdJtIueYwQMUmeC84oKiZNfISIWWbbYot+U
ZHc0uTdjAGp9MxxKp1G5HuloW2iz124Uij8kUa8x85mLm5x0F1SHbh5eqbNNDsPkkO217roEJc2t
lC3inrmOMsdBEPFW/diUq1TV+pWH5LJjwiseq6ZsV/Oo1Mcl0ntVFIcBlzvWF1hh0bbktk1FwWBc
Yg/XcuYm0c7ucpXZahnudaWpQZKk6ud6nudDbEbhLY0hyWlKeFBlOThvbUprm2pAR0hLnR4dmhQJ
BAWDhw8xTDqYo+mIeciT1Sdc9+Em6lzzVWjddBSqxANmyHJjk7gyHNk8qSqBgFjg2HZGZrZ1/9jQ
7BL5RddSrM5sRdzn47CTY3Jb6VpAv+3BrjaRQ+o0LQBLdrDY/bqrup1VtER4VV2H7FA1kXjgPXBO
Dc1yVzR7u9ip7UgkM1bC54bK1gezTah0Ih1tuFv+I8EkcDSw9gqZTfd6rda7lGfqTHscIAkMnCGw
Xk/sc4/Ur5+XNvjPxDXPRKOMnSZrMElTTqQsdAYoyz0jfjnk6FXTGDZvapYjX3ed6z04BWnkhKQz
P37cWKAxLXu6RQqJ78w6tVcOmCRtaY+MbquxjvQVKQ5xHV13qmAVxznXb7t/qURSnYUwh8Ok0qsC
iIaI4GD0M38SCi0Tde3q6bWzc+eaYE5YWf2D6436py53hp3NyPHNy0SOyVov5Y76N/ON51t8o4zB
AJNraeAmi0mPXzWkvSyoGagXxH8d55KYdbGe1Fy30NNyg6BWmdTbIapJsedWGG+rLi0u6HPGQw+h
8BBKS79P88a44Vak8yHzwr6NRacxWrdrjfxXG5nbjonIZR4S7a6XEcbdQbQ3wMjy94RHmJ9qaOiP
Tdm0N4yRjHWoUYzCEE2AZ8rcc1Hkc+xncqIGxTFClfrCStt59RAdLa1PcBemKadZnI7UuSma9qBY
Njkzx84U5s+ac3bSNr/DcKteTX3UyQXgcI4P1Tw45Klz1Qi6apLvw1zOgQpYLXDUKqkDadXLFeuQ
1JPFO5/A4vG9sZckaAC/iXyo6a8Ubnww1CzeDV5xRvdrFa53lrKqDIAhsddqu9HV8js7IQ1v8eKu
EffEVvIPnxRNcd/0xoQRVjALEt6lT0R0IjPkvqeGJ05DFKYbTS/nQy2pnYzsXN85raW+pXOdnvqe
2VRShO02zi3n/1J3XsuRG92WfhXFuZirgw54EyfORAzKF13Rk32DKDp4l0DCPf18aKNpSq3f8Z+J
Hl6p1RJYhUJl7tx7rW+d4J/jM9RD+zTwkJ9nMpEL1qKCAPsxmRalJfuVk+dPWpOVK8KDBHq0wr5H
0LC2XXmf2DTR+OpHOy2FH1Tr0RLZd/dilvErAx1nZTfKuMCTS8hMqeCTNup9rGCOtqRl7hglXuiK
6SytwFbg3BbOdgQktwuVYK+GwuJ8YQ/qqsU28jCb5TC9IVq51AMTQ3MYKtVKIBiYiuxmyp1hnVud
uy4j7JQQH3ZZ1WpLctueEqXrsz1kIgZJlSfxDIezW0WV07BuA7O7QuSZnNEgr5DAVO2cXXACNf+z
HKot9ntmJs2U+s3QyEUOD+HcLfVTjBcTJtvIVfE0CS9iWueVJgYvmZxAAmBu2VQTfqjBCjIILCr/
KPESbmgx7gVawmQR4KEel1OEEIoKtcVEE5d9te1EdszHLN/bmS0fjawiQyaIxvgsGdtuU0Qa+tqC
wN0r0sfEZqp7N8N341IndAOMsChM8zVt1JC5CpPcSSrGK+7ILl6xxTNmMgH3UcwoYQawSsYzRKFh
H4j1pkQtqjdFs5iyxH4uGN1dOHbbX8Rp1BDpxhHd6dnEPE+OxKLqZ2XpXvC2oGGiuE5u0NLUxgIG
DjMNLeiHuyCIXjwe98fJsnEst2cEJco1HfDkyIJYX8U2Mk0sxTmE36EZeFNlTROExkfSxdOjgpB4
FTrZsE8M8YVZPMFn71v6m56gv+Cm1lOjp6g6+MV+qLXDClwgx/FccdbCqMRt6XTFlvjZFUM0xCki
l4cqCcK71MqrTT7DjgzVyR76zqzWOjrUwnezAiZJ1oZi2xeoRhgiiQqyd9GpvoXj/sAe0G9klnbn
ruVOe52C7C4mE3I/NMqwr3U3XBJ6y/QrJ1nJrhwLLX4BXNnVYyZGgntlee30rNeWunWx3C8NawrW
TY6qg5Yu7s7I2uD6vx1t5uCthT/XAlJUGWKpg2F0VCYpLhp5bIO5XMlevBpAZqlOeBTTwV7pKlNr
FuJl3vaMqW1lCS7kUjFqY1/ii96l1Qi8Ng/KI4OEatHAvFhYTT6H0BXqusLDzA6jc84SrnuJ32oW
U9c9EMMmOCt6LfHjMdDXFUyYZTdjp2JDPw87eYJb7E3TmijGAB6ow4LOnPUiScU1J4u0N51S69xL
S3Nd0Cg5acnB2MDm8tWmZ1dhvNrdtAQx3o6mzBjFD92614ZzNYzo+ntAj9XIhlfbDWS49jNZKsBe
j2maWEmWsmhhGMMj/xPYQgS4TwIB/ypI1GRNiHpxqlapcc/9nmfetixSAOsxYtUoNVdWqOIUJ7Jx
7wSOgxWEvRxovIprF0MYETrZOUSR4BLho3uaE7Z4SjROyuS6Sq0D31DozFUViVPOITkxXbr1OqlD
CF40KC4Q52rneB7svRSZ9eph7ziz5wDuuI/ia4PBFNMm2+wZJBXxo6Ll7RnLZrarp7RfNrXzHKKj
3jpFkpETnMjzlobio2nO2dZJURTIrxJk9KORVGcV8FEq/9iId2WOy4opUTWyerQQT6ahWGccnbae
cOydYjnjFaOtZoKmJfdl7ED/xFu2NwZmdr3RFBcD4ojSdoIDGOr0sVfdems4VbzECo0KjRocUh6R
mLGtYWoaIFBEGsQRJ2GnA+iLaMzQVnB0jKX0bLLfCJO6VznKcJvd/KKWLHjUj+VDhElzlouney1k
xo+OyTx1tbZyCDeVsvKhIUeXoZ4pi1zaEvzuNDwHY0ZnKmbfC1yd3zw23bpx2McH5uUnYF9v7bYL
710loMrMbXUpKYiECHdTmJL90sIVz7PjACj0wI46MGen5F2qlmz8VFVwOWJS45jVIk7vn2ME1Mid
q3yfCHyDHQPJHUJWbe+ARVphkVaXQ54GxGS7kDwqFsg6S3ZO9tJ3qvcSYmbZQfYlfTgeVV/tM/E8
KtF4knU28995Bg76o1Q2QU40JO28cl1MPbfP7M0LxXLHzRSl4tDLoiCpoKyeVB6Yc5lq3S7RW6wF
OnxNjj6UE8SOb1tnbM9yD7n8EMbjdRBAEWnUJDummjfxVio08MUUPXMY0xlZC6KzA8X0EerXt4oy
9VdpNzkVDlhDeyycUvmcQzZbI1yp4FCQawwgJoM4jjGGQ0/ragdBj3URkKzQuGmZLzqQI2uXri5U
kx5sIic5AvWqhs/LQm3wMBYDSI28tzelUhDMEsgzQ4kWNrM8Bx+Ub0ubOXjsviGYB2nunQ4FHgIi
PhdDVwBzi3UQQb26T20sQbmTvzId2pJJduNKl8toXXyI2RKZ5xXjtnGdcD2aot4RBNruiD9vceCU
3ZHxulh5TmDfKSijTsuxDJ4VaqZ5fgekqROWh2IjNGHYdc6ZMWXVqd2a+SNuA0ltZFm7UqWklYai
sAuOA7lomR6rW2+yBkF6hDKc1kXBEs/Y09voeMN85vt1TKlfuusAiuSzCrfAJELRQnOfBc5nNKg2
tiTVTe8qSqRVRdbcedtP2QPmj3gzfvH2ge0+2kVEhA7JAdohkyPhNQx3L0NFYYJuTcOlgpgIHmCf
ElLoOfoqgOa7m+hUXHm5J47hGJAlKPrqoWJ/Y4nHGumMZg4lphdnbqurkhFqZa9kS3SdHtTlZWu1
ZDPJshOv6hR2N0phgyVC4dWc2VZpQ0kApOBDxHcfs8aoN06jv8VpgX4sgqvrj2NsHNwQ3zDajfiO
haNdANiV0bJSLEngLrgFEej6WhnH/EFaKZXrhOmm4OvuR21WngcCCAYQFsQgUzONyzIq0K2aud4c
UqetLiiusUEaYTluRaLPMZNsolcQS4Tnx5GVIUDJCQLVJnGdVNSwPiVcvsUkby49TjGneqiFizor
mltbBQZUIrpZjE0a3pmJG28CQTgaAoku2fWFrftW00/7nPJsX9dT/4DXGPEZVejl7OFgzJIYd7k+
xHuv05KnEEvNaRz007k1WRVyqkoNAUkxUC8anNqRxtDASjJrp1bdUEM3nPRyATfQOnYm+D7fSw31
iGE1rWkeTMO9iUWcXkviNTQemHjCDCVd8kSZQHUZpctptw6UCRNNWp2xj1eP0RBUd50DaWKqTA4G
bksQuKuXF2gV3VvbSZ29S7aLr8nOgsuu5+do5iixklml5JNE2T1oTmsvLTWJLgJz0Dei0SaoVH1q
P05aoFA0qESEVm52oqQWVWeMK99XpFmvnDpIDgmDHD5a91j1dECiRNlMNK3WmKW4SOJpCx1Weqcb
CGhdVte0V1Jy4Obeg5bzKWmtpy2x+Oa3RqYyJEgb2a1QCttPisn5YpgSyiUvteHYOEqNNM3QKvS/
cVgseNeUt4o9XMdBkp3FpsWL1YdiYQ0mw4//t/3fX3DOwCSWkAdMHDqDT5oiSMT/VpP39PhyTN+N
G356gW+9XqapTFkR/RMmNJs/flfE4hOhzaoygEWGCarwh8mD80lFrGSphkly0let7PfJg46DxHHp
eDKSwNvAoOyfaPVSn79r9SpodB2Tud6XedsPZiIza8tUS1uyvHsnX0tePJPJiu1l4VasKb7hFVjH
lcJl6RfNXm0tZ1/i4YV3aLfJeV9NaNcLF5TSkraguLOUAOSP5453VZJ75oLSp6DrQwZaRvVXe1d5
lTSXTqqaA7Dt3J0FfxMgDr/iQAu2vtMwRsAyRno/A2WfkM0o1a4rS/OsoSm/x+PYH7tgLJ6oYi2k
aWZS0b0rBBp7K56Nfl1jq9t+tO3PYkzJBzNKbxg3o9rypdVpp9a7plT4FtdjZCZLiWCm3uMEiy8H
Tiwkv06ivrEcNOmSgDcQtRJxJmJ0+1Ef0/wwDNqosDPr7DYiQZK11sEGzor4SH2sSWqlpDcUvLFe
2jpXQxF3Jcud0T0nFmckL8kx56ORvLLmcMDajfVr3UrkPepT65ATvHfl5Ewvldb0tgysp02nDgW9
E4rS047xNPIx4L0GTVoaRb3irnGJABUPdRk9k8vD56hkTeStMt3u8IGm/XRSKbbx1nOAuFaJpH/F
ZZeT1B1W9SPiMvOCAy2j96hJONLkgDluHXOGh0iZt4eo8tTzEd9QTw+Hcbov4dVt0iwOB0bSXX8L
NVm5q704QuHfO+otZCdSFTy7HtNVDCcQiWOkP2ElrjdigoGl6QD4/EENmwMdr3nnYU92VnkVeCco
X9pTFEgC77SBk8FJ6hgmbY6C0E+1ov2cm6kilpYpm9cwD4Ybqyt7djZOHJrvtoq7cALpnpWVIFEz
LIssW7aeqW/SOmm8C8uTEF3aMSk4oHkdKtJRyUq6ReRMIwcj8t1cJaA3jDV0KecVqm5gLqOsBiZc
JUU1rWyw0NpC8XLYSa0lqs9wjqIHYFilb+dgGC5yMIsIdisYYdyMLO9pvjqyXXBjB0n4UQ6VUXaA
wRZI7ophGVtjdGVpcLK4+3b4QDcweONgA4BMZHrwmgZ2u3WTWmrPmIFUxiWCYg8aTMDhkd/VEmIt
aLcfOiRap9KLCg5wWcZJu+8bQEXRsFIEmIalGuf8udEb5VRT4jJddRJRhVlOU3Joo86WvjmAAUv6
Mb+F3mG+YA6OHwc0mq4vvMCplkUM7U9T8XElqpKaC1Mr+l0VOQSzRQmZFCQl2zYkjKLO3IVapi3K
by+U69HjWEHe/Oi+ep2wMbc0HuwbJ7OApQ2tc4nDtNkhsGxgtuRyuCaapHnyhNXcJ/Dvzs1hQrUn
mxaZVDQQMFYJr7tUFLO574Vl+eiJy5Np0mp8rA7o8QHWKJ6ULuhIQvM4AiplNMeXgAFZKXkZxj6b
Z3U/5k16UmipFa3IzcBunQAf2cFnGKBnBAYafJ7K3s/Uvow4T3YWJyDHppdXds/IRqlatEQ6hBuP
U3uWpdl4ZXtTRO8tKKtglVnjsKlDxdqApFJ3TpX2dBj5GB+Fl04vIIJCehWtOp6pMO3PpBOFZx7E
/MjXidO56vMqvu46ReY+5yVtp/aEEJpNIK5imFoXTajbcE/7Aph1KYuHsoycVTf17Pso5G9a+Dzx
go79tE7SPoP55FUxIZyqLBaT6Safi7gvL5JMWKumDmc38DDsZCCml7mkdQm8jEoN3TEVIbbgkc8e
ZxaQTLMPq0f8fSkcnVDv9/AfDNBegyNgFqntLZ8OkwoV7eWFkSPP7zJwOnsF4lTj925jeJuSXvAy
iBUJa64x+opnNSmfMlxyN63JMdevVemRkdnXyWetNKsHq+5pU9a1AMCqS7O11qY96ZiiSXAt/NaB
oLXRK7W6axLUole6W3Isa0eDRQdBTL00FBxpJ1Eyqj3eX6lNK+ZuyuDbFUgsMq97w9wJFaAfcTeV
OAunGN8Tja8xXUL99M5F7WRPQxRGb5EiymXVqExPdNFw/MkMthsnQ6WYUPBFCwSXzioYNUYtIbo/
2qZ07sktqoe92dVD5BuIgfey7+wJ7EeWo0ctWwhCic4pUgsbxN9uMBx6SJVQ90cl3XRgOXdaG8hl
h2POXIDvsIY1IMvk1BD0yhd62Room4xo0w0XQg6o4SO8vLjomm46HROs4TLPcfuptYm5pbbz5Mmp
02IFD+ikHzjg+0mG1BpSYldfVvS8743M7QEFUnGAJGgt4Gqp2s1IQUh5YeuUe742Vnmfp0hyfbNt
to7tbtoGZjezvOwxc4V3gteN+gG1P0yYwsv2kdHDEtUSQXM9bgJL9Vl2CtYhSDxCuzLc4VLXSs93
1W56ydgN2Kjj9iaj4XpCQNywGPPAXZhF015xcO7eTDafDTAlY8/E5+iI3p6RTdl26hHJ623T3BqD
ZcDXtQDhRlkGltcFgVfHXtAtyqzzDlLTjHWa9RKLCl6QPZAcjoJjLNHxMEEBdBoLIMRxMpxORt2e
EoSmonAO0rPMYiFfJXD6Kl8bOHstTFdTMJPbGjCxqFO0TZOMXkKcW53uprgpr3B3ZnBFGcDCU0tO
YJOZJzKS2PYwWDUPwNq8ZWMV7jP5IvAx7MKsL8w8c6+gTTjbpG1JdzCrgCnboOgvHg8M5nqtuKwT
+hI13EdzlaehuVWttrpVC9RGveTjL706esgZ9+Z+rxPH4cd2qDJMTJzzAornswZSV13RVy4Xtmir
WU2Gn7Kt25tax1oIo7A62K09nBUiwWPUp0l43lgNnF3415veUmOg01lltNRcuvM5n4xkXJQz2sQ2
IQRxFs/D1yCqI7RsinGayIomewZADIwfYwk20FLKx84cHRQrNfk7pkGPuVaD8NFR04iGdtwRWG1D
VYABi1w7aRNEdF5ibyJwvxe4no29N/TpG69XHHAVMLmbJA3cqRrBTA6MK2elrNtikurxZCUN+MCl
EWJ18G2kapcuxLC1g1X0DgMCmr26yI8enlA8h006w+eaoG992rIF8KDaCDd8VP2pFoaEaTtxIC5j
YWDdKSsbdxYBxaxUejm02aqSkYj3TqLIciNBQgc71LIgZJkz2tkaNq923lSVea87fYfiu1HTcR13
+TzoJkcAGrEu3JOYUW6+AKPZtMuOEXIEOFOdmLhxcmQeMvbisW9jkUAtIF5gEU9ZcMZAAXsHjYto
xxPiMbvS45ZpucOm1pNVSJvL4f43rqTvisBdYk/LszvTjOor2ndgDwXnoatkNJmfa124UHTVOYkb
y4VTLdXXmL4BiD2rKfQV++48VdQlp++Uw/T1mMk4IvWBksDvRRMVqzAmj3GpKRxhDq4FkHHdd5a5
dTK9ZDSfmgwWIEK6wJfYKuaInwbwOJ9CGC4GaDUbm7jYqyzTq3o5eb07+aWXmW9JjqxiWUBDvfUs
ZTzGrqK+uG4m5bbsaewg0RMtGTsDbWIG4DWZulmSVMxA2mjBEDh808MyvmonYhZGr9IQeMQNAF3T
jVeTU4pLSQLJUjikK2lF49rrkaotWZoDsdkeIBLWKZm6GHGa4Oj1tX6lFpQYK6peT1mI3LOy1YBn
NaW+hk2I2W6iRoNF4dHe0f2pq8u1EhTDSjgGXxOTfXnJky21VZ2o5dGAdaMTpRdmq6ADX8KfhkOp
ZtW4KKqy1321EgGQQUFCb5DX0SGAG7YzEHRfpIhAhD9ioCWOqNNrAmCMHrSPwyXDW+IXeE0ac6G7
CgNcs6wxSr+VWaxfCSNjRpGpDNmzoJaML8mXcSROCyEGmquYryF2GlW4YAKP3HwMhYrwk1a8nFSe
xSpOLd9Sw+oYZYo4SYFiUuCDA90qrea9jaYTjBvivJ3hDP2QcoMPh6sAg7V2IVMsjmScOfUNQJ9g
X/JMP4+ZR9E8mRrpUGpfYSzSY+/EDcpiV7UqNvGB6MeNqjCO7GrCXhz2kFUoCOuy9QgiX5HQ/TOT
KKGz6MiVVyL5kWMjiQ1qzb2JCuuBOmDmz3gFKXixofClyaA49kw7cH3VuLoBwCyHJJVXpSmRtObQ
Nsi+rLPaL2o1vnRAcKw0YEahb7medTLP/VdUcMEKzvITdaq3UflOriA+MATCp/IZ1kz7NKqEt4Fh
0gKiO/WU0V3pXAKMagZoOTmillLJNpOSA+QP2+FmGILDCHDzUWNSfmnFs65Fn6MwA9sa9i7ana1Z
ZeGJbVcp992O926UeXTBndjalKmq39diwnYEncieK3QEWUxb49B3TLPK/TZMqGbBzD5ZLDHbmLJ0
lfLFac6QDkkeIoPDsSChEf8CeO1lSE94V5aSIpo5fHlTEh62poSzDxD4zGtzKmmrMu4+lPCDVz2h
OqMfJthUa6UKadq7ur4jF89dIWmJbvjqQfax9YmljakTy2MIxYpOF5DDrMDKU0AW3BtBBKfY1G3h
12g9yCGw1fTMUgx4tnEE6RcDu4vVIkkuRFaHIz07IqoiFZAaoQRjs2TS3F6Pehbf4trvDp4SWmTW
B9pBQyb0WjdRsxYIsXLf1sdI8ZXe1O51SJwYPtJkZ9V2cuaoSGR8taOXkbesV7FEbAY7MU92WUFL
VxZ5vgGjncPHVoadXtnVEnnIcKJkvNnU4SI+NoqakjWkdWxlhrwXbHURv63O1uAluSaOketAz9yb
NpJwjUZZ6QxVot5e12kCp9vQBybOqDRgAvcIq00nKm40uKBrG/b7oTT1N4fDILsy9rVmCaKpPR3N
wUEtb4pVl6YAibLB7O/AR4FKCKeaprzsyvYF8OC4+E8O51kVAPneGoDsfWbrw7BU7QRUDmN864Jm
K4GzmZeg8/i/0kX8/8hBj9OB+sPVdH0OQDEsLBl/q4n4c+LMb/+rePntL50fP/0V3wTO4Gh0B4DZ
zPtTHV7G7wJnFROIhpcDdz/kpy/S5x9MICadR1A1dD1xYiL0/NZnnHk0pGxwPd7OfEn3n+kzasYf
JaVfXSA81JptMkT25j7kD/1GjkvI+uzJXAX9rRzLM+9GWxMXhgoC2xvz/dnesFabK+O2wHtMDkdy
29QxOIv7YGiXMX07l6hQNc0/U9FD2t1GhIkQbeS45C5QVARNvovcp3Gge1OFiS/je9l/phRaKfTw
iOW7npVqvT7iPxVE2u0r900Mi2wb2Dcd8/wXnK1+YZ2SFAGE4qwUchHYbzSriPpj+K0weLR3VtLm
QNS1c5bH5dgriywaN/lcCgIjXQxklXG84esj1onWhnNlfD5EnynKqPD7J9UrbptWvczrKSJh0XF9
yxirVePA+i6e2+zCBqNGqyhtOTgR3cbqCdAWPIrfO/pBS5LrMJt2hiEYKehbxcz3WKmzhZ2fGgOI
YMrLi0YKzgchwlhcMjPKLdMyPKcJm6JRvlq4I9Gwmo8qswk+plVX4hLz4AoTpWs2KQPEcSHaYZkQ
x4K27IzwhwM8xHOaI8+pYx+GktdKGqaFKEy/G+LxtmQEg+JzFZrk1aMA1PxZy04LgasScHsIcyjQ
NXKGudQ6r0GmJMPfycjjnPauh/31SwHDT3UIFjId+unvn620U5shLhVvNUz5rWgVjKRmcxg6a8tK
ugLaiAbQsffotTZZdWHlw8bSzJM2d+USNxwu32bW8xFIZcfZNlXUdSz7NcznwJeBcTC6cj0M1rVh
WgKWEkWUEZ/UxYkqzY2oihNtxJMEzIyOFxkJlxbyNtfp8U4z1OQjJG/ozQQkaaWPzOjJbLEWscjX
YULSiBZBW2uXdU85nDSnCGmXsCOWoVC21aQehCXWnWEeRkLNbUZawziXuPkmj9qbBHsjj+RmYvio
fbbpQEIA3tf2dK6W9J2UMmSmBbkeZy3e7hFIUIdnpjhz6myjgDxAqfmUt+M2y9Rt2EMupuCBPC+n
02loV6D3jmNlrcuCZjIXxGg8H/20cc9yca/rIaiIG12IM0J8trh1b4rh85RYw0kFQRmZneY81oEh
fSXKHhRixqJK2yCrxNRuE2tke1s6vS/IRmq/Iw8nHAHOUelZS4968KTumQrY0+cfVtefWJi+5Fn/
aLKYV2cDA5MKkguozh8nHlPJwFn0RbCyy/Q1VOR9wO0LhPa55pw1dWKvOeIKDcz5JLuLsBE0RodZ
VeprqLegQTinqUXMM/I+GBDeRaSDyovbq8b1UH236SGJOmJUi7/zdDMi+sPTjaWPHqbKAs4GM6f7
vX+6Gw5pTEdgANWOALWpG/sg5QVD2AfFhwoONFGQRXRkWBer0N4qOYtUrUmiB9YDjZU6oh3oKHTx
Rd1Pc1wcz2yorzgnbtHtQeGykfzE3TUL68bIhkOcyGtigm4nY0Y36y+hNVznJoWw4bZMpDGBBjFT
HWG3JZ1Xl6Wx099U2hvEqbTKKX1AtFRT1fpZ1V9FXXfoIZ5UNgPy2C7A+BDnZtveZ5zZmm+k3Q15
fRfwCCeSc6q3QkmilWVUN32rvAFMzRZubL/ZSnbd2MkDRuyNICBobWlvFR2hCOWRV/AKwnqHmsaf
XLqzkXUHjmRDnKXnO+Kpxzg/4i4u837VaJjm+oXaRQvOL/cFsOY+jrYQs1do185UBbYxBbJfqTrJ
42ADoJL7kUTwKdrbWqWJUJgPU1rfhvFwAdl0WnbzoUVptwYa2DpUt1ZdXFtRv1XDiQi85DlQq+sM
W7XUDWRpfN8Tiywb9xAW6q6s+kNvuksKwOtc0zmvEPciVW/laSQNhdY6jNQ1H/0pQUGrnlQUe4jv
aUNv6Q2uWnJcLHrJ5WlL8k4zWuvWyyDAI5VtHpLpejYrIrhdRvLEq9Id0td7uEkADDnkMJvQ1hy6
N25KaM98phdG+5ZGHCJa+wBUYFmL5LHOwVR5TUIkt57BQjdMGiq2094nuXNZolyn6qwhzDOMgfF4
4MD8XGcmYVaIItx8FyjevUnXFAHwC866dSWxMGCcOy34GnLgKg9tnW71ieFCWV2jk7lKw+TE1Md+
OUGYqhHRLRT8fYHSLpn8kwDaL4OwKdiZHhK93xrDsM0lHLOUMQV0bebmUfEQNtbpIIy7DKqJb9kP
1lTfDLlsVzzVuzpw3ibdOAlwXK36BtVFpoUEHSBHkS2GBRG62coyp9M0ZNeyCXUB/LpxhHo0oTCs
yC26Ko3xmNaYI1LZPtBTBfkDNGcRg+ESZnvbTe6+cyo6vyrt93SX6tYdpGcCQrQB6FpyozX2g9Tl
iToMT/kweWBxsqWWGVulH5aDqh5yO1ymVnCHmNF3BVAd07uyJVj89BHNhF+6cuEF0XnTxZdGPq2o
0hFvVG9TTMoHd2wYvOthnMV/8aZsJ/gS9VVADEqKzmhSPw9M8EJ9WGvSe04QESMe7DBnWFeB95pz
aHS8lamcC/e8QshnXBTyClnqQYBdkEaFewRGtO63iXubE7eVUnWUE0FVIJO7islk8prGI55Jzj/N
g+Pd9DST48EklQGRU7TU9EcZXjthvrFdQcLDJc5+4jrApkmdx0XB6XM16PE8OTpVg8xHrUMaxLiN
bTr2ztpCu5PG0F8T8MD2hdY/I1ZFI2U8tJLezMj3OtUfXO+AR2IBA0gNJZSxNLqvA4JuZGwtw/ip
b5p1Lt8Ati/yynsaDCNbw6F9Uip7G4twm8baSwdZFqRbxNGu9JYj6AHGKf2SgS8A0dLdJXRYidPz
mqUb5nfxCNx80EfzRRE6E0nFxUfhuOu+nE4sUdxEYe0sp0S78VLlsRzHewKWbiYsHFMA+h+tLXOb
gpkELUaw85lboMXn0NX1xXMpp407OVtmR/OwEQCGSzkVRgzMTLgRQoUDq5p+nvTHFvIqqN2d3QcY
Q7AfTLbzlHfd3uujV3eUNwDlq0Wd6PiixnBZNpQmJPgRJTinpc2xqUlH/50hWKXRF5/M07Iy3gh7
WSTaJmztPYaYpVaKsxR6LOXTWVRb5+PYblyj1okcIPtXmMi9zR49P/P+eMmwVEFs67WrLFVG/z+j
iZMuPAtvVVneIUVFzAhJ3sRq/iDmGPW8RE4eNsGVEWl77g0sXqKgfL3CU1s6cGmcQkpfhWqBIMq+
/ncdRz8gV/nm3v0p0fR3f+j8t4cyLtqb8k/Y03/oP/ou//j5hd4hUnlginYGrobAI985FOea+p2r
8ctL+oJn/VtXyI5QXOUL9FUdXYqlW5oN2uPLD4ffrCzCb3/teDNTwDbnYv3LD+ZFft8Pd+iv7sHf
fnt/Zsf++Trv3sBfUmINT+fI/I/cgz9c4od7AMeOky2ucgh488/7e+Dy1yooUnNGJPxab15TaVvg
q//oDXA/EV9nUGgDsv3zDXCcT5qGYok79Is+BI6nGrb+0duAHZeHXeeJwtb95ef9d8H8pFrMlGyd
jIz5h17Jr/U4zLdBNz78ddDBOuosCCbnrZ88Ddony+NkwyPx9Tb8cksCXazZZP2xNcH7BCZAQ+H3
/hmwPxmQnk3VdL/em1/vzYNrcXmBtAQ/dgMMEpyhv2Ak//ox0535YWNgUbRs5Jc605EvP8gjf60v
A2OomXn9oZuggUXVVFOH7fDTr4L9aXb2s298u0dfd+NfaHekazsLVz92E9RPJjwBx3G40g+PgGN/
MlVX5yn4tmv8ctsj4l3t6yL9FXv0e6n15wLpr4sDSLYWkwGEve/evet8wpwwa4O/Pv+/3m6AyUr/
6DIIvAJqhTpTKv7qC6BiVGR+8fXnl9sSv1ZIxodXQ5Y7g8eAUcy3d/ruYfC0T7qDfIpt8fe//rVW
Q2I3TFbwDy0Euv0JpT2bgvb1WfhjnayyJdicJr7vGP/EavgPLJm/H6oWEQCcL2eu+LX5IYni7/4H
348kf77At6PG7uW//2MeU7z7D2e8zNdLv/6Om/mf75aLL8ehH/7y+/Hoy+/59r9/e4N//tXvftf3
d/X9X27jV3EUz0QdfPnV317mzCb/7/9g4hiRfXEQx5fXJnp3KoS4/f3PP4Xj/P4U/M3rN80x/36Z
+c7MnoPvf/7XL4uf6Si+X2a+7NcD3P+5fX9KBPmHXu32KMY/4nu+loEfvnKcH5+jY/bTOw3SjFPH
R3/F/pjn8rf/ccyr//rt5NhEtIS+X/TLI2lhGfn+L/71O39yFAVNi/QPjKMvVdJH38EJz2n2hwt/
qTw+euHTY9pEx5f+9bX6fge+3JLZXvP9X/zrt+Ts+BKNP/8Ozfadj/+Ci5eYl//9Ol++RXRS/g0f
5kG+yOfoVYjx3cUJGKJ58dGbfpBFcnz6fp0vrxrQ/7/hVV8dkyPSveO7JtYsf/g3XPs6TtP43YLF
yND6N3yGN8c8zn47P77IH+8IJx+bauejt/q2bYkt+ski/m3D/uj171+b9jf/FbZZ9v3Fzp/nt8r4
o1c/O7KYs2C14t0z/q3y/OjVNzLh6u2Pr/v3DseHr12+e8W/N5A+el125d/5r+fxc/nEp7trgMu9
NP9bqP4A3jBKjVTvWFSah7t6Ai7xNASvq6DUW76ZVflFqM0BoNEG5sAbQWDeIr8UDikCrp5HTUFQ
w6mQe7Gv14I5GlyXgDwCbNjDxMj3iB/wDjJQVMNMgpoOHKIF3n9CcVGB/xoXeNuUvPaTb2o6sI2T
WImSKxCdJ0rTj0tqTkYmLAgQwQIauabYaHh+w33eMoWBQ/CsUorNz0gsKcksxjgNFTqWR4VsAK5n
gLuf0VMn1AYqtKW8gFUBTvOp0B8heEQnhZFA7O5wCq3BXh6Rs34Ur0Ow9Tfh83aYvVDYfBw2bahd
bJCK5JzUxCI7AAAAAP//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12</xdr:col>
      <xdr:colOff>304800</xdr:colOff>
      <xdr:row>12</xdr:row>
      <xdr:rowOff>123825</xdr:rowOff>
    </xdr:from>
    <xdr:to>
      <xdr:col>15</xdr:col>
      <xdr:colOff>304800</xdr:colOff>
      <xdr:row>25</xdr:row>
      <xdr:rowOff>171450</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84542B0D-BBC1-E48A-BBD3-864B3874452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372725" y="2409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18</xdr:row>
      <xdr:rowOff>104775</xdr:rowOff>
    </xdr:from>
    <xdr:to>
      <xdr:col>19</xdr:col>
      <xdr:colOff>9525</xdr:colOff>
      <xdr:row>31</xdr:row>
      <xdr:rowOff>152400</xdr:rowOff>
    </xdr:to>
    <mc:AlternateContent xmlns:mc="http://schemas.openxmlformats.org/markup-compatibility/2006" xmlns:a14="http://schemas.microsoft.com/office/drawing/2010/main">
      <mc:Choice Requires="a14">
        <xdr:graphicFrame macro="">
          <xdr:nvGraphicFramePr>
            <xdr:cNvPr id="4" name="Sales Rep">
              <a:extLst>
                <a:ext uri="{FF2B5EF4-FFF2-40B4-BE49-F238E27FC236}">
                  <a16:creationId xmlns:a16="http://schemas.microsoft.com/office/drawing/2014/main" id="{175097FE-916F-17C6-15FE-DB714FB00939}"/>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2515850" y="3533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12</xdr:row>
      <xdr:rowOff>76201</xdr:rowOff>
    </xdr:from>
    <xdr:to>
      <xdr:col>19</xdr:col>
      <xdr:colOff>76200</xdr:colOff>
      <xdr:row>17</xdr:row>
      <xdr:rowOff>152401</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9E1E200B-FD05-BBDC-C461-5F4BBDF1A65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582525" y="236220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561975</xdr:colOff>
      <xdr:row>7</xdr:row>
      <xdr:rowOff>47625</xdr:rowOff>
    </xdr:from>
    <xdr:to>
      <xdr:col>6</xdr:col>
      <xdr:colOff>904875</xdr:colOff>
      <xdr:row>15</xdr:row>
      <xdr:rowOff>57150</xdr:rowOff>
    </xdr:to>
    <mc:AlternateContent xmlns:mc="http://schemas.openxmlformats.org/markup-compatibility/2006" xmlns:a14="http://schemas.microsoft.com/office/drawing/2010/main">
      <mc:Choice Requires="a14">
        <xdr:graphicFrame macro="">
          <xdr:nvGraphicFramePr>
            <xdr:cNvPr id="6" name="Item">
              <a:extLst>
                <a:ext uri="{FF2B5EF4-FFF2-40B4-BE49-F238E27FC236}">
                  <a16:creationId xmlns:a16="http://schemas.microsoft.com/office/drawing/2014/main" id="{23A65663-89FD-F109-690F-57BB97167AA2}"/>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067300" y="1381125"/>
              <a:ext cx="1828800"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371475</xdr:colOff>
      <xdr:row>0</xdr:row>
      <xdr:rowOff>0</xdr:rowOff>
    </xdr:from>
    <xdr:to>
      <xdr:col>12</xdr:col>
      <xdr:colOff>381001</xdr:colOff>
      <xdr:row>9</xdr:row>
      <xdr:rowOff>23813</xdr:rowOff>
    </xdr:to>
    <xdr:graphicFrame macro="">
      <xdr:nvGraphicFramePr>
        <xdr:cNvPr id="7" name="Chart 6">
          <a:extLst>
            <a:ext uri="{FF2B5EF4-FFF2-40B4-BE49-F238E27FC236}">
              <a16:creationId xmlns:a16="http://schemas.microsoft.com/office/drawing/2014/main" id="{6A123782-744E-ED1B-CD87-9F1A3B428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180975</xdr:colOff>
      <xdr:row>44</xdr:row>
      <xdr:rowOff>71437</xdr:rowOff>
    </xdr:from>
    <xdr:to>
      <xdr:col>11</xdr:col>
      <xdr:colOff>552450</xdr:colOff>
      <xdr:row>57</xdr:row>
      <xdr:rowOff>47625</xdr:rowOff>
    </xdr:to>
    <xdr:graphicFrame macro="">
      <xdr:nvGraphicFramePr>
        <xdr:cNvPr id="10" name="Chart 9">
          <a:extLst>
            <a:ext uri="{FF2B5EF4-FFF2-40B4-BE49-F238E27FC236}">
              <a16:creationId xmlns:a16="http://schemas.microsoft.com/office/drawing/2014/main" id="{61B45D34-F476-6098-AE5C-D6A4D1688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381000</xdr:colOff>
      <xdr:row>25</xdr:row>
      <xdr:rowOff>176212</xdr:rowOff>
    </xdr:from>
    <xdr:to>
      <xdr:col>18</xdr:col>
      <xdr:colOff>76200</xdr:colOff>
      <xdr:row>40</xdr:row>
      <xdr:rowOff>61912</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99DBC00E-C9EF-7E53-DE5B-FB95BDC908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229725" y="49387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409574</xdr:colOff>
      <xdr:row>0</xdr:row>
      <xdr:rowOff>152400</xdr:rowOff>
    </xdr:from>
    <xdr:to>
      <xdr:col>18</xdr:col>
      <xdr:colOff>333375</xdr:colOff>
      <xdr:row>10</xdr:row>
      <xdr:rowOff>180975</xdr:rowOff>
    </xdr:to>
    <xdr:graphicFrame macro="">
      <xdr:nvGraphicFramePr>
        <xdr:cNvPr id="12" name="Chart 11">
          <a:extLst>
            <a:ext uri="{FF2B5EF4-FFF2-40B4-BE49-F238E27FC236}">
              <a16:creationId xmlns:a16="http://schemas.microsoft.com/office/drawing/2014/main" id="{68217A3B-CA17-C089-5C81-F523149FD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561975</xdr:colOff>
      <xdr:row>58</xdr:row>
      <xdr:rowOff>85725</xdr:rowOff>
    </xdr:from>
    <xdr:to>
      <xdr:col>5</xdr:col>
      <xdr:colOff>771525</xdr:colOff>
      <xdr:row>71</xdr:row>
      <xdr:rowOff>166687</xdr:rowOff>
    </xdr:to>
    <xdr:graphicFrame macro="">
      <xdr:nvGraphicFramePr>
        <xdr:cNvPr id="13" name="Chart 12">
          <a:extLst>
            <a:ext uri="{FF2B5EF4-FFF2-40B4-BE49-F238E27FC236}">
              <a16:creationId xmlns:a16="http://schemas.microsoft.com/office/drawing/2014/main" id="{ABBDD587-13BC-5F8A-F38B-F6648A18A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171450</xdr:rowOff>
    </xdr:from>
    <xdr:to>
      <xdr:col>3</xdr:col>
      <xdr:colOff>9525</xdr:colOff>
      <xdr:row>3</xdr:row>
      <xdr:rowOff>9525</xdr:rowOff>
    </xdr:to>
    <xdr:sp macro="" textlink="">
      <xdr:nvSpPr>
        <xdr:cNvPr id="2" name="Rectangle: Rounded Corners 1">
          <a:extLst>
            <a:ext uri="{FF2B5EF4-FFF2-40B4-BE49-F238E27FC236}">
              <a16:creationId xmlns:a16="http://schemas.microsoft.com/office/drawing/2014/main" id="{04018E7D-ADAC-534E-AA57-294DCF4790F0}"/>
            </a:ext>
          </a:extLst>
        </xdr:cNvPr>
        <xdr:cNvSpPr/>
      </xdr:nvSpPr>
      <xdr:spPr>
        <a:xfrm>
          <a:off x="609600" y="171450"/>
          <a:ext cx="1228725" cy="409575"/>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1</xdr:row>
      <xdr:rowOff>0</xdr:rowOff>
    </xdr:from>
    <xdr:to>
      <xdr:col>19</xdr:col>
      <xdr:colOff>9525</xdr:colOff>
      <xdr:row>3</xdr:row>
      <xdr:rowOff>28575</xdr:rowOff>
    </xdr:to>
    <xdr:sp macro="" textlink="">
      <xdr:nvSpPr>
        <xdr:cNvPr id="3" name="Rectangle: Rounded Corners 2">
          <a:extLst>
            <a:ext uri="{FF2B5EF4-FFF2-40B4-BE49-F238E27FC236}">
              <a16:creationId xmlns:a16="http://schemas.microsoft.com/office/drawing/2014/main" id="{12C39BBB-458A-4304-B09D-4BA310C19AD1}"/>
            </a:ext>
          </a:extLst>
        </xdr:cNvPr>
        <xdr:cNvSpPr/>
      </xdr:nvSpPr>
      <xdr:spPr>
        <a:xfrm>
          <a:off x="10972800" y="190500"/>
          <a:ext cx="1228725" cy="409575"/>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0</xdr:row>
      <xdr:rowOff>171451</xdr:rowOff>
    </xdr:from>
    <xdr:to>
      <xdr:col>19</xdr:col>
      <xdr:colOff>9525</xdr:colOff>
      <xdr:row>3</xdr:row>
      <xdr:rowOff>1</xdr:rowOff>
    </xdr:to>
    <xdr:sp macro="" textlink="">
      <xdr:nvSpPr>
        <xdr:cNvPr id="4" name="Rectangle: Rounded Corners 3">
          <a:extLst>
            <a:ext uri="{FF2B5EF4-FFF2-40B4-BE49-F238E27FC236}">
              <a16:creationId xmlns:a16="http://schemas.microsoft.com/office/drawing/2014/main" id="{A1FEE5CC-254D-40F7-8491-48BAD5B8F59A}"/>
            </a:ext>
          </a:extLst>
        </xdr:cNvPr>
        <xdr:cNvSpPr/>
      </xdr:nvSpPr>
      <xdr:spPr>
        <a:xfrm>
          <a:off x="10972800" y="171451"/>
          <a:ext cx="1228725" cy="400050"/>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600074</xdr:colOff>
      <xdr:row>0</xdr:row>
      <xdr:rowOff>171450</xdr:rowOff>
    </xdr:from>
    <xdr:to>
      <xdr:col>14</xdr:col>
      <xdr:colOff>9525</xdr:colOff>
      <xdr:row>3</xdr:row>
      <xdr:rowOff>0</xdr:rowOff>
    </xdr:to>
    <xdr:sp macro="" textlink="">
      <xdr:nvSpPr>
        <xdr:cNvPr id="5" name="Rectangle: Rounded Corners 4">
          <a:extLst>
            <a:ext uri="{FF2B5EF4-FFF2-40B4-BE49-F238E27FC236}">
              <a16:creationId xmlns:a16="http://schemas.microsoft.com/office/drawing/2014/main" id="{62D50FFF-710A-11DE-1296-2AFC9848194F}"/>
            </a:ext>
          </a:extLst>
        </xdr:cNvPr>
        <xdr:cNvSpPr/>
      </xdr:nvSpPr>
      <xdr:spPr>
        <a:xfrm>
          <a:off x="3648074" y="171450"/>
          <a:ext cx="4895851" cy="400050"/>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276225</xdr:colOff>
      <xdr:row>4</xdr:row>
      <xdr:rowOff>57151</xdr:rowOff>
    </xdr:from>
    <xdr:to>
      <xdr:col>7</xdr:col>
      <xdr:colOff>200025</xdr:colOff>
      <xdr:row>12</xdr:row>
      <xdr:rowOff>28575</xdr:rowOff>
    </xdr:to>
    <mc:AlternateContent xmlns:mc="http://schemas.openxmlformats.org/markup-compatibility/2006" xmlns:a14="http://schemas.microsoft.com/office/drawing/2010/main">
      <mc:Choice Requires="a14">
        <xdr:graphicFrame macro="">
          <xdr:nvGraphicFramePr>
            <xdr:cNvPr id="6" name="State 1">
              <a:extLst>
                <a:ext uri="{FF2B5EF4-FFF2-40B4-BE49-F238E27FC236}">
                  <a16:creationId xmlns:a16="http://schemas.microsoft.com/office/drawing/2014/main" id="{663DA731-302C-4388-882A-A586C203D259}"/>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324225" y="819151"/>
              <a:ext cx="1143000" cy="1495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428626</xdr:colOff>
      <xdr:row>4</xdr:row>
      <xdr:rowOff>8021</xdr:rowOff>
    </xdr:from>
    <xdr:to>
      <xdr:col>14</xdr:col>
      <xdr:colOff>314326</xdr:colOff>
      <xdr:row>12</xdr:row>
      <xdr:rowOff>9525</xdr:rowOff>
    </xdr:to>
    <mc:AlternateContent xmlns:mc="http://schemas.openxmlformats.org/markup-compatibility/2006" xmlns:a14="http://schemas.microsoft.com/office/drawing/2010/main">
      <mc:Choice Requires="a14">
        <xdr:graphicFrame macro="">
          <xdr:nvGraphicFramePr>
            <xdr:cNvPr id="7" name="Sales Rep 1">
              <a:extLst>
                <a:ext uri="{FF2B5EF4-FFF2-40B4-BE49-F238E27FC236}">
                  <a16:creationId xmlns:a16="http://schemas.microsoft.com/office/drawing/2014/main" id="{4635A3B5-CF52-48E6-AFF5-1370AE75578C}"/>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7743826" y="770021"/>
              <a:ext cx="1104900" cy="1525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38601</xdr:colOff>
      <xdr:row>13</xdr:row>
      <xdr:rowOff>152901</xdr:rowOff>
    </xdr:from>
    <xdr:to>
      <xdr:col>14</xdr:col>
      <xdr:colOff>10026</xdr:colOff>
      <xdr:row>17</xdr:row>
      <xdr:rowOff>57150</xdr:rowOff>
    </xdr:to>
    <mc:AlternateContent xmlns:mc="http://schemas.openxmlformats.org/markup-compatibility/2006" xmlns:a14="http://schemas.microsoft.com/office/drawing/2010/main">
      <mc:Choice Requires="a14">
        <xdr:graphicFrame macro="">
          <xdr:nvGraphicFramePr>
            <xdr:cNvPr id="8" name="Date 1">
              <a:extLst>
                <a:ext uri="{FF2B5EF4-FFF2-40B4-BE49-F238E27FC236}">
                  <a16:creationId xmlns:a16="http://schemas.microsoft.com/office/drawing/2014/main" id="{35CBFB0D-7053-4056-A3AF-F27AD48435FB}"/>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3696201" y="2629401"/>
              <a:ext cx="4848225" cy="666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47625</xdr:colOff>
      <xdr:row>17</xdr:row>
      <xdr:rowOff>85226</xdr:rowOff>
    </xdr:from>
    <xdr:to>
      <xdr:col>14</xdr:col>
      <xdr:colOff>19050</xdr:colOff>
      <xdr:row>21</xdr:row>
      <xdr:rowOff>28576</xdr:rowOff>
    </xdr:to>
    <mc:AlternateContent xmlns:mc="http://schemas.openxmlformats.org/markup-compatibility/2006" xmlns:a14="http://schemas.microsoft.com/office/drawing/2010/main">
      <mc:Choice Requires="a14">
        <xdr:graphicFrame macro="">
          <xdr:nvGraphicFramePr>
            <xdr:cNvPr id="9" name="Item 1">
              <a:extLst>
                <a:ext uri="{FF2B5EF4-FFF2-40B4-BE49-F238E27FC236}">
                  <a16:creationId xmlns:a16="http://schemas.microsoft.com/office/drawing/2014/main" id="{6241FC9E-ABF4-48C0-BB2D-1855A7339A68}"/>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705225" y="3323726"/>
              <a:ext cx="4848225" cy="70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219075</xdr:colOff>
      <xdr:row>3</xdr:row>
      <xdr:rowOff>123825</xdr:rowOff>
    </xdr:from>
    <xdr:to>
      <xdr:col>5</xdr:col>
      <xdr:colOff>171450</xdr:colOff>
      <xdr:row>12</xdr:row>
      <xdr:rowOff>90488</xdr:rowOff>
    </xdr:to>
    <xdr:graphicFrame macro="">
      <xdr:nvGraphicFramePr>
        <xdr:cNvPr id="12" name="Chart 11">
          <a:extLst>
            <a:ext uri="{FF2B5EF4-FFF2-40B4-BE49-F238E27FC236}">
              <a16:creationId xmlns:a16="http://schemas.microsoft.com/office/drawing/2014/main" id="{0AA7C3E8-ED0F-46A0-B5B0-B2B2430EA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200026</xdr:colOff>
      <xdr:row>12</xdr:row>
      <xdr:rowOff>152400</xdr:rowOff>
    </xdr:from>
    <xdr:to>
      <xdr:col>5</xdr:col>
      <xdr:colOff>190500</xdr:colOff>
      <xdr:row>21</xdr:row>
      <xdr:rowOff>85725</xdr:rowOff>
    </xdr:to>
    <xdr:graphicFrame macro="">
      <xdr:nvGraphicFramePr>
        <xdr:cNvPr id="13" name="Chart 12">
          <a:extLst>
            <a:ext uri="{FF2B5EF4-FFF2-40B4-BE49-F238E27FC236}">
              <a16:creationId xmlns:a16="http://schemas.microsoft.com/office/drawing/2014/main" id="{3B5499C1-BE21-47B6-B2D8-E209C4E3B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276226</xdr:colOff>
      <xdr:row>3</xdr:row>
      <xdr:rowOff>142875</xdr:rowOff>
    </xdr:from>
    <xdr:to>
      <xdr:col>12</xdr:col>
      <xdr:colOff>371475</xdr:colOff>
      <xdr:row>13</xdr:row>
      <xdr:rowOff>114300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B50D4D5E-2DD1-454A-A6FE-20C0FE5D0D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543426" y="714375"/>
              <a:ext cx="3143249" cy="1876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400050</xdr:colOff>
      <xdr:row>12</xdr:row>
      <xdr:rowOff>85725</xdr:rowOff>
    </xdr:from>
    <xdr:to>
      <xdr:col>20</xdr:col>
      <xdr:colOff>323851</xdr:colOff>
      <xdr:row>21</xdr:row>
      <xdr:rowOff>57150</xdr:rowOff>
    </xdr:to>
    <xdr:graphicFrame macro="">
      <xdr:nvGraphicFramePr>
        <xdr:cNvPr id="15" name="Chart 14">
          <a:extLst>
            <a:ext uri="{FF2B5EF4-FFF2-40B4-BE49-F238E27FC236}">
              <a16:creationId xmlns:a16="http://schemas.microsoft.com/office/drawing/2014/main" id="{642EBE9B-F3B9-4277-844B-18AC43EFA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400050</xdr:colOff>
      <xdr:row>3</xdr:row>
      <xdr:rowOff>114300</xdr:rowOff>
    </xdr:from>
    <xdr:to>
      <xdr:col>20</xdr:col>
      <xdr:colOff>304800</xdr:colOff>
      <xdr:row>12</xdr:row>
      <xdr:rowOff>57150</xdr:rowOff>
    </xdr:to>
    <xdr:graphicFrame macro="">
      <xdr:nvGraphicFramePr>
        <xdr:cNvPr id="16" name="Chart 15">
          <a:extLst>
            <a:ext uri="{FF2B5EF4-FFF2-40B4-BE49-F238E27FC236}">
              <a16:creationId xmlns:a16="http://schemas.microsoft.com/office/drawing/2014/main" id="{4FFDDDCE-57A4-4BDD-A015-DF726AD99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0.00274</cdr:y>
    </cdr:from>
    <cdr:to>
      <cdr:x>1</cdr:x>
      <cdr:y>1</cdr:y>
    </cdr:to>
    <cdr:sp macro="" textlink="">
      <cdr:nvSpPr>
        <cdr:cNvPr id="2" name="Rectangle: Rounded Corners 1">
          <a:extLst xmlns:a="http://schemas.openxmlformats.org/drawingml/2006/main">
            <a:ext uri="{FF2B5EF4-FFF2-40B4-BE49-F238E27FC236}">
              <a16:creationId xmlns:a16="http://schemas.microsoft.com/office/drawing/2014/main" id="{B19B2244-6F5C-8BB8-5BC9-A510DA7041A7}"/>
            </a:ext>
          </a:extLst>
        </cdr:cNvPr>
        <cdr:cNvSpPr/>
      </cdr:nvSpPr>
      <cdr:spPr>
        <a:xfrm xmlns:a="http://schemas.openxmlformats.org/drawingml/2006/main">
          <a:off x="-19050" y="9525"/>
          <a:ext cx="3238500" cy="1733550"/>
        </a:xfrm>
        <a:prstGeom xmlns:a="http://schemas.openxmlformats.org/drawingml/2006/main" prst="roundRect">
          <a:avLst/>
        </a:prstGeom>
        <a:noFill xmlns:a="http://schemas.openxmlformats.org/drawingml/2006/main"/>
        <a:ln xmlns:a="http://schemas.openxmlformats.org/drawingml/2006/main" w="6350">
          <a:solidFill>
            <a:schemeClr val="accent2">
              <a:lumMod val="60000"/>
              <a:lumOff val="4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4.xml><?xml version="1.0" encoding="utf-8"?>
<c:userShapes xmlns:c="http://schemas.openxmlformats.org/drawingml/2006/chart">
  <cdr:relSizeAnchor xmlns:cdr="http://schemas.openxmlformats.org/drawingml/2006/chartDrawing">
    <cdr:from>
      <cdr:x>0.00627</cdr:x>
      <cdr:y>0.00578</cdr:y>
    </cdr:from>
    <cdr:to>
      <cdr:x>0.99373</cdr:x>
      <cdr:y>1</cdr:y>
    </cdr:to>
    <cdr:sp macro="" textlink="">
      <cdr:nvSpPr>
        <cdr:cNvPr id="2" name="Rectangle: Rounded Corners 1">
          <a:extLst xmlns:a="http://schemas.openxmlformats.org/drawingml/2006/main">
            <a:ext uri="{FF2B5EF4-FFF2-40B4-BE49-F238E27FC236}">
              <a16:creationId xmlns:a16="http://schemas.microsoft.com/office/drawing/2014/main" id="{C6814F34-24A2-13FA-F1DC-919E3B3EDB84}"/>
            </a:ext>
          </a:extLst>
        </cdr:cNvPr>
        <cdr:cNvSpPr/>
      </cdr:nvSpPr>
      <cdr:spPr>
        <a:xfrm xmlns:a="http://schemas.openxmlformats.org/drawingml/2006/main">
          <a:off x="19049" y="19050"/>
          <a:ext cx="3000375" cy="1638300"/>
        </a:xfrm>
        <a:prstGeom xmlns:a="http://schemas.openxmlformats.org/drawingml/2006/main" prst="roundRect">
          <a:avLst/>
        </a:prstGeom>
        <a:noFill xmlns:a="http://schemas.openxmlformats.org/drawingml/2006/main"/>
        <a:ln xmlns:a="http://schemas.openxmlformats.org/drawingml/2006/main">
          <a:solidFill>
            <a:schemeClr val="accent2"/>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5.xml><?xml version="1.0" encoding="utf-8"?>
<c:userShapes xmlns:c="http://schemas.openxmlformats.org/drawingml/2006/chart">
  <cdr:relSizeAnchor xmlns:cdr="http://schemas.openxmlformats.org/drawingml/2006/chartDrawing">
    <cdr:from>
      <cdr:x>0.00266</cdr:x>
      <cdr:y>0.0113</cdr:y>
    </cdr:from>
    <cdr:to>
      <cdr:x>0.98404</cdr:x>
      <cdr:y>0.98305</cdr:y>
    </cdr:to>
    <cdr:sp macro="" textlink="">
      <cdr:nvSpPr>
        <cdr:cNvPr id="2" name="Rectangle: Rounded Corners 1">
          <a:extLst xmlns:a="http://schemas.openxmlformats.org/drawingml/2006/main">
            <a:ext uri="{FF2B5EF4-FFF2-40B4-BE49-F238E27FC236}">
              <a16:creationId xmlns:a16="http://schemas.microsoft.com/office/drawing/2014/main" id="{2EE5C78E-A2FE-5073-BE67-9C05A09C98E0}"/>
            </a:ext>
          </a:extLst>
        </cdr:cNvPr>
        <cdr:cNvSpPr/>
      </cdr:nvSpPr>
      <cdr:spPr>
        <a:xfrm xmlns:a="http://schemas.openxmlformats.org/drawingml/2006/main">
          <a:off x="9525" y="19050"/>
          <a:ext cx="3514725" cy="1638300"/>
        </a:xfrm>
        <a:prstGeom xmlns:a="http://schemas.openxmlformats.org/drawingml/2006/main" prst="roundRect">
          <a:avLst/>
        </a:prstGeom>
        <a:noFill xmlns:a="http://schemas.openxmlformats.org/drawingml/2006/main"/>
        <a:ln xmlns:a="http://schemas.openxmlformats.org/drawingml/2006/main" w="12700">
          <a:solidFill>
            <a:schemeClr val="accent2"/>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6.xml><?xml version="1.0" encoding="utf-8"?>
<c:userShapes xmlns:c="http://schemas.openxmlformats.org/drawingml/2006/chart">
  <cdr:relSizeAnchor xmlns:cdr="http://schemas.openxmlformats.org/drawingml/2006/chartDrawing">
    <cdr:from>
      <cdr:x>0</cdr:x>
      <cdr:y>0.01724</cdr:y>
    </cdr:from>
    <cdr:to>
      <cdr:x>1</cdr:x>
      <cdr:y>0.99425</cdr:y>
    </cdr:to>
    <cdr:sp macro="" textlink="">
      <cdr:nvSpPr>
        <cdr:cNvPr id="2" name="Rectangle: Rounded Corners 1">
          <a:extLst xmlns:a="http://schemas.openxmlformats.org/drawingml/2006/main">
            <a:ext uri="{FF2B5EF4-FFF2-40B4-BE49-F238E27FC236}">
              <a16:creationId xmlns:a16="http://schemas.microsoft.com/office/drawing/2014/main" id="{033B31F1-B5BB-22CA-EC4E-D6C917F5A2E0}"/>
            </a:ext>
          </a:extLst>
        </cdr:cNvPr>
        <cdr:cNvSpPr/>
      </cdr:nvSpPr>
      <cdr:spPr>
        <a:xfrm xmlns:a="http://schemas.openxmlformats.org/drawingml/2006/main">
          <a:off x="-9525" y="28575"/>
          <a:ext cx="3581400" cy="1619250"/>
        </a:xfrm>
        <a:prstGeom xmlns:a="http://schemas.openxmlformats.org/drawingml/2006/main" prst="roundRect">
          <a:avLst/>
        </a:prstGeom>
        <a:noFill xmlns:a="http://schemas.openxmlformats.org/drawingml/2006/main"/>
        <a:ln xmlns:a="http://schemas.openxmlformats.org/drawingml/2006/main">
          <a:solidFill>
            <a:schemeClr val="accent2"/>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1.531392824072" createdVersion="8" refreshedVersion="8" minRefreshableVersion="3" recordCount="1300" xr:uid="{A7EE3CE9-906C-4F27-A27B-24051E41EA1E}">
  <cacheSource type="worksheet">
    <worksheetSource name="Order_by_sales"/>
  </cacheSource>
  <cacheFields count="10">
    <cacheField name="Order No" numFmtId="0">
      <sharedItems/>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6" maxValue="230"/>
    </cacheField>
    <cacheField name="Total Price" numFmtId="0">
      <sharedItems containsSemiMixedTypes="0" containsString="0" containsNumber="1" containsInteger="1" minValue="32" maxValue="5290"/>
    </cacheField>
    <cacheField name="Commission" numFmtId="0">
      <sharedItems containsSemiMixedTypes="0" containsString="0" containsNumber="1" minValue="0.01" maxValue="0.12"/>
    </cacheField>
    <cacheField name="Total Value (With Commisio)" numFmtId="0">
      <sharedItems containsSemiMixedTypes="0" containsString="0" containsNumber="1" minValue="0.96" maxValue="556.6"/>
    </cacheField>
    <cacheField name="State" numFmtId="0">
      <sharedItems count="12">
        <s v="Meghalaya"/>
        <s v="Uttar Pradesh"/>
        <s v="Maharashtra"/>
        <s v="Delhi"/>
        <s v="West Bengal"/>
        <s v="Bihar"/>
        <s v="Goa"/>
        <s v="Karnataka"/>
        <s v="Gujarat"/>
        <s v="Jharkhand"/>
        <s v="Haryana"/>
        <s v="Kerala"/>
      </sharedItems>
    </cacheField>
  </cacheFields>
  <extLst>
    <ext xmlns:x14="http://schemas.microsoft.com/office/spreadsheetml/2009/9/main" uri="{725AE2AE-9491-48be-B2B4-4EB974FC3084}">
      <x14:pivotCacheDefinition pivotCacheId="1615376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s v="Order-1"/>
    <x v="0"/>
    <x v="0"/>
    <x v="0"/>
    <n v="6"/>
    <n v="80"/>
    <n v="480"/>
    <n v="0.01"/>
    <n v="4.8"/>
    <x v="0"/>
  </r>
  <r>
    <s v="Order-2"/>
    <x v="0"/>
    <x v="1"/>
    <x v="1"/>
    <n v="14"/>
    <n v="40"/>
    <n v="560"/>
    <n v="0.06"/>
    <n v="33.6"/>
    <x v="1"/>
  </r>
  <r>
    <s v="Order-3"/>
    <x v="0"/>
    <x v="2"/>
    <x v="1"/>
    <n v="22"/>
    <n v="230"/>
    <n v="5060"/>
    <n v="0.11"/>
    <n v="556.6"/>
    <x v="2"/>
  </r>
  <r>
    <s v="Order-4"/>
    <x v="0"/>
    <x v="2"/>
    <x v="0"/>
    <n v="8"/>
    <n v="230"/>
    <n v="1840"/>
    <n v="0.03"/>
    <n v="55.199999999999996"/>
    <x v="3"/>
  </r>
  <r>
    <s v="Order-5"/>
    <x v="0"/>
    <x v="2"/>
    <x v="2"/>
    <n v="12"/>
    <n v="230"/>
    <n v="2760"/>
    <n v="0.03"/>
    <n v="82.8"/>
    <x v="4"/>
  </r>
  <r>
    <s v="Order-6"/>
    <x v="0"/>
    <x v="0"/>
    <x v="3"/>
    <n v="19"/>
    <n v="80"/>
    <n v="1520"/>
    <n v="0.02"/>
    <n v="30.400000000000002"/>
    <x v="5"/>
  </r>
  <r>
    <s v="Order-7"/>
    <x v="0"/>
    <x v="3"/>
    <x v="4"/>
    <n v="17"/>
    <n v="16"/>
    <n v="272"/>
    <n v="0.08"/>
    <n v="21.76"/>
    <x v="6"/>
  </r>
  <r>
    <s v="Order-8"/>
    <x v="0"/>
    <x v="4"/>
    <x v="3"/>
    <n v="7"/>
    <n v="150"/>
    <n v="1050"/>
    <n v="0.05"/>
    <n v="52.5"/>
    <x v="7"/>
  </r>
  <r>
    <s v="Order-9"/>
    <x v="0"/>
    <x v="4"/>
    <x v="3"/>
    <n v="20"/>
    <n v="150"/>
    <n v="3000"/>
    <n v="0.1"/>
    <n v="300"/>
    <x v="8"/>
  </r>
  <r>
    <s v="Order-10"/>
    <x v="0"/>
    <x v="3"/>
    <x v="0"/>
    <n v="21"/>
    <n v="16"/>
    <n v="336"/>
    <n v="0.09"/>
    <n v="30.24"/>
    <x v="9"/>
  </r>
  <r>
    <s v="Order-11"/>
    <x v="0"/>
    <x v="2"/>
    <x v="1"/>
    <n v="7"/>
    <n v="230"/>
    <n v="1610"/>
    <n v="0.01"/>
    <n v="16.100000000000001"/>
    <x v="10"/>
  </r>
  <r>
    <s v="Order-12"/>
    <x v="1"/>
    <x v="0"/>
    <x v="3"/>
    <n v="7"/>
    <n v="80"/>
    <n v="560"/>
    <n v="7.0000000000000007E-2"/>
    <n v="39.200000000000003"/>
    <x v="11"/>
  </r>
  <r>
    <s v="Order-13"/>
    <x v="1"/>
    <x v="0"/>
    <x v="4"/>
    <n v="9"/>
    <n v="80"/>
    <n v="720"/>
    <n v="0.02"/>
    <n v="14.4"/>
    <x v="0"/>
  </r>
  <r>
    <s v="Order-14"/>
    <x v="1"/>
    <x v="1"/>
    <x v="4"/>
    <n v="16"/>
    <n v="40"/>
    <n v="640"/>
    <n v="0.09"/>
    <n v="57.599999999999994"/>
    <x v="1"/>
  </r>
  <r>
    <s v="Order-15"/>
    <x v="1"/>
    <x v="4"/>
    <x v="1"/>
    <n v="23"/>
    <n v="150"/>
    <n v="3450"/>
    <n v="0.11"/>
    <n v="379.5"/>
    <x v="2"/>
  </r>
  <r>
    <s v="Order-16"/>
    <x v="1"/>
    <x v="3"/>
    <x v="3"/>
    <n v="22"/>
    <n v="16"/>
    <n v="352"/>
    <n v="0.03"/>
    <n v="10.559999999999999"/>
    <x v="3"/>
  </r>
  <r>
    <s v="Order-17"/>
    <x v="1"/>
    <x v="1"/>
    <x v="3"/>
    <n v="23"/>
    <n v="40"/>
    <n v="920"/>
    <n v="0.06"/>
    <n v="55.199999999999996"/>
    <x v="4"/>
  </r>
  <r>
    <s v="Order-18"/>
    <x v="1"/>
    <x v="0"/>
    <x v="0"/>
    <n v="20"/>
    <n v="80"/>
    <n v="1600"/>
    <n v="0.01"/>
    <n v="16"/>
    <x v="5"/>
  </r>
  <r>
    <s v="Order-19"/>
    <x v="2"/>
    <x v="0"/>
    <x v="3"/>
    <n v="11"/>
    <n v="80"/>
    <n v="880"/>
    <n v="0.01"/>
    <n v="8.8000000000000007"/>
    <x v="6"/>
  </r>
  <r>
    <s v="Order-20"/>
    <x v="2"/>
    <x v="1"/>
    <x v="3"/>
    <n v="9"/>
    <n v="40"/>
    <n v="360"/>
    <n v="0.06"/>
    <n v="21.599999999999998"/>
    <x v="7"/>
  </r>
  <r>
    <s v="Order-21"/>
    <x v="2"/>
    <x v="0"/>
    <x v="4"/>
    <n v="16"/>
    <n v="80"/>
    <n v="1280"/>
    <n v="0.09"/>
    <n v="115.19999999999999"/>
    <x v="8"/>
  </r>
  <r>
    <s v="Order-22"/>
    <x v="2"/>
    <x v="0"/>
    <x v="2"/>
    <n v="10"/>
    <n v="80"/>
    <n v="800"/>
    <n v="0.08"/>
    <n v="64"/>
    <x v="9"/>
  </r>
  <r>
    <s v="Order-23"/>
    <x v="2"/>
    <x v="3"/>
    <x v="2"/>
    <n v="12"/>
    <n v="16"/>
    <n v="192"/>
    <n v="0.11"/>
    <n v="21.12"/>
    <x v="10"/>
  </r>
  <r>
    <s v="Order-24"/>
    <x v="2"/>
    <x v="4"/>
    <x v="3"/>
    <n v="6"/>
    <n v="150"/>
    <n v="900"/>
    <n v="0.03"/>
    <n v="27"/>
    <x v="11"/>
  </r>
  <r>
    <s v="Order-25"/>
    <x v="2"/>
    <x v="3"/>
    <x v="2"/>
    <n v="11"/>
    <n v="16"/>
    <n v="176"/>
    <n v="0.04"/>
    <n v="7.04"/>
    <x v="0"/>
  </r>
  <r>
    <s v="Order-26"/>
    <x v="2"/>
    <x v="0"/>
    <x v="3"/>
    <n v="22"/>
    <n v="80"/>
    <n v="1760"/>
    <n v="0.03"/>
    <n v="52.8"/>
    <x v="1"/>
  </r>
  <r>
    <s v="Order-27"/>
    <x v="2"/>
    <x v="3"/>
    <x v="1"/>
    <n v="7"/>
    <n v="16"/>
    <n v="112"/>
    <n v="0.08"/>
    <n v="8.9600000000000009"/>
    <x v="2"/>
  </r>
  <r>
    <s v="Order-28"/>
    <x v="2"/>
    <x v="1"/>
    <x v="3"/>
    <n v="13"/>
    <n v="40"/>
    <n v="520"/>
    <n v="0.09"/>
    <n v="46.8"/>
    <x v="3"/>
  </r>
  <r>
    <s v="Order-29"/>
    <x v="2"/>
    <x v="2"/>
    <x v="3"/>
    <n v="8"/>
    <n v="230"/>
    <n v="1840"/>
    <n v="0.05"/>
    <n v="92"/>
    <x v="4"/>
  </r>
  <r>
    <s v="Order-30"/>
    <x v="2"/>
    <x v="3"/>
    <x v="3"/>
    <n v="14"/>
    <n v="16"/>
    <n v="224"/>
    <n v="0.12"/>
    <n v="26.88"/>
    <x v="5"/>
  </r>
  <r>
    <s v="Order-31"/>
    <x v="2"/>
    <x v="1"/>
    <x v="4"/>
    <n v="16"/>
    <n v="40"/>
    <n v="640"/>
    <n v="0.09"/>
    <n v="57.599999999999994"/>
    <x v="6"/>
  </r>
  <r>
    <s v="Order-32"/>
    <x v="3"/>
    <x v="4"/>
    <x v="1"/>
    <n v="16"/>
    <n v="150"/>
    <n v="2400"/>
    <n v="0.05"/>
    <n v="120"/>
    <x v="7"/>
  </r>
  <r>
    <s v="Order-33"/>
    <x v="3"/>
    <x v="1"/>
    <x v="1"/>
    <n v="12"/>
    <n v="40"/>
    <n v="480"/>
    <n v="0.1"/>
    <n v="48"/>
    <x v="8"/>
  </r>
  <r>
    <s v="Order-34"/>
    <x v="3"/>
    <x v="0"/>
    <x v="4"/>
    <n v="17"/>
    <n v="80"/>
    <n v="1360"/>
    <n v="7.0000000000000007E-2"/>
    <n v="95.2"/>
    <x v="9"/>
  </r>
  <r>
    <s v="Order-35"/>
    <x v="3"/>
    <x v="2"/>
    <x v="3"/>
    <n v="19"/>
    <n v="230"/>
    <n v="4370"/>
    <n v="0.06"/>
    <n v="262.2"/>
    <x v="10"/>
  </r>
  <r>
    <s v="Order-36"/>
    <x v="3"/>
    <x v="2"/>
    <x v="4"/>
    <n v="22"/>
    <n v="230"/>
    <n v="5060"/>
    <n v="0.1"/>
    <n v="506"/>
    <x v="11"/>
  </r>
  <r>
    <s v="Order-37"/>
    <x v="3"/>
    <x v="1"/>
    <x v="3"/>
    <n v="22"/>
    <n v="40"/>
    <n v="880"/>
    <n v="0.01"/>
    <n v="8.8000000000000007"/>
    <x v="0"/>
  </r>
  <r>
    <s v="Order-38"/>
    <x v="3"/>
    <x v="3"/>
    <x v="3"/>
    <n v="10"/>
    <n v="16"/>
    <n v="160"/>
    <n v="0.04"/>
    <n v="6.4"/>
    <x v="1"/>
  </r>
  <r>
    <s v="Order-39"/>
    <x v="3"/>
    <x v="1"/>
    <x v="1"/>
    <n v="4"/>
    <n v="40"/>
    <n v="160"/>
    <n v="0.12"/>
    <n v="19.2"/>
    <x v="2"/>
  </r>
  <r>
    <s v="Order-40"/>
    <x v="3"/>
    <x v="1"/>
    <x v="4"/>
    <n v="20"/>
    <n v="40"/>
    <n v="800"/>
    <n v="0.05"/>
    <n v="40"/>
    <x v="3"/>
  </r>
  <r>
    <s v="Order-41"/>
    <x v="4"/>
    <x v="2"/>
    <x v="3"/>
    <n v="23"/>
    <n v="230"/>
    <n v="5290"/>
    <n v="0.06"/>
    <n v="317.39999999999998"/>
    <x v="4"/>
  </r>
  <r>
    <s v="Order-42"/>
    <x v="4"/>
    <x v="1"/>
    <x v="2"/>
    <n v="20"/>
    <n v="40"/>
    <n v="800"/>
    <n v="0.01"/>
    <n v="8"/>
    <x v="5"/>
  </r>
  <r>
    <s v="Order-43"/>
    <x v="4"/>
    <x v="4"/>
    <x v="2"/>
    <n v="20"/>
    <n v="150"/>
    <n v="3000"/>
    <n v="0.04"/>
    <n v="120"/>
    <x v="6"/>
  </r>
  <r>
    <s v="Order-44"/>
    <x v="4"/>
    <x v="0"/>
    <x v="1"/>
    <n v="9"/>
    <n v="80"/>
    <n v="720"/>
    <n v="0.03"/>
    <n v="21.599999999999998"/>
    <x v="7"/>
  </r>
  <r>
    <s v="Order-45"/>
    <x v="4"/>
    <x v="2"/>
    <x v="0"/>
    <n v="7"/>
    <n v="230"/>
    <n v="1610"/>
    <n v="0.02"/>
    <n v="32.200000000000003"/>
    <x v="8"/>
  </r>
  <r>
    <s v="Order-46"/>
    <x v="4"/>
    <x v="2"/>
    <x v="0"/>
    <n v="3"/>
    <n v="230"/>
    <n v="690"/>
    <n v="0.06"/>
    <n v="41.4"/>
    <x v="9"/>
  </r>
  <r>
    <s v="Order-47"/>
    <x v="4"/>
    <x v="4"/>
    <x v="0"/>
    <n v="13"/>
    <n v="150"/>
    <n v="1950"/>
    <n v="0.05"/>
    <n v="97.5"/>
    <x v="10"/>
  </r>
  <r>
    <s v="Order-48"/>
    <x v="4"/>
    <x v="0"/>
    <x v="0"/>
    <n v="17"/>
    <n v="80"/>
    <n v="1360"/>
    <n v="0.09"/>
    <n v="122.39999999999999"/>
    <x v="11"/>
  </r>
  <r>
    <s v="Order-49"/>
    <x v="5"/>
    <x v="1"/>
    <x v="3"/>
    <n v="18"/>
    <n v="40"/>
    <n v="720"/>
    <n v="0.06"/>
    <n v="43.199999999999996"/>
    <x v="0"/>
  </r>
  <r>
    <s v="Order-50"/>
    <x v="5"/>
    <x v="3"/>
    <x v="2"/>
    <n v="23"/>
    <n v="16"/>
    <n v="368"/>
    <n v="0.11"/>
    <n v="40.479999999999997"/>
    <x v="1"/>
  </r>
  <r>
    <s v="Order-51"/>
    <x v="5"/>
    <x v="2"/>
    <x v="2"/>
    <n v="20"/>
    <n v="230"/>
    <n v="4600"/>
    <n v="0.06"/>
    <n v="276"/>
    <x v="2"/>
  </r>
  <r>
    <s v="Order-52"/>
    <x v="5"/>
    <x v="3"/>
    <x v="0"/>
    <n v="11"/>
    <n v="16"/>
    <n v="176"/>
    <n v="0.09"/>
    <n v="15.84"/>
    <x v="3"/>
  </r>
  <r>
    <s v="Order-53"/>
    <x v="5"/>
    <x v="4"/>
    <x v="4"/>
    <n v="15"/>
    <n v="150"/>
    <n v="2250"/>
    <n v="7.0000000000000007E-2"/>
    <n v="157.50000000000003"/>
    <x v="4"/>
  </r>
  <r>
    <s v="Order-54"/>
    <x v="5"/>
    <x v="2"/>
    <x v="1"/>
    <n v="6"/>
    <n v="230"/>
    <n v="1380"/>
    <n v="0.1"/>
    <n v="138"/>
    <x v="5"/>
  </r>
  <r>
    <s v="Order-55"/>
    <x v="5"/>
    <x v="1"/>
    <x v="0"/>
    <n v="22"/>
    <n v="40"/>
    <n v="880"/>
    <n v="0.02"/>
    <n v="17.600000000000001"/>
    <x v="6"/>
  </r>
  <r>
    <s v="Order-56"/>
    <x v="5"/>
    <x v="1"/>
    <x v="0"/>
    <n v="15"/>
    <n v="40"/>
    <n v="600"/>
    <n v="0.06"/>
    <n v="36"/>
    <x v="7"/>
  </r>
  <r>
    <s v="Order-57"/>
    <x v="5"/>
    <x v="3"/>
    <x v="2"/>
    <n v="12"/>
    <n v="16"/>
    <n v="192"/>
    <n v="0.03"/>
    <n v="5.76"/>
    <x v="8"/>
  </r>
  <r>
    <s v="Order-58"/>
    <x v="5"/>
    <x v="3"/>
    <x v="4"/>
    <n v="22"/>
    <n v="16"/>
    <n v="352"/>
    <n v="0.12"/>
    <n v="42.239999999999995"/>
    <x v="9"/>
  </r>
  <r>
    <s v="Order-59"/>
    <x v="5"/>
    <x v="0"/>
    <x v="0"/>
    <n v="21"/>
    <n v="80"/>
    <n v="1680"/>
    <n v="0.04"/>
    <n v="67.2"/>
    <x v="10"/>
  </r>
  <r>
    <s v="Order-60"/>
    <x v="5"/>
    <x v="4"/>
    <x v="0"/>
    <n v="22"/>
    <n v="150"/>
    <n v="3300"/>
    <n v="0.05"/>
    <n v="165"/>
    <x v="11"/>
  </r>
  <r>
    <s v="Order-61"/>
    <x v="5"/>
    <x v="0"/>
    <x v="4"/>
    <n v="21"/>
    <n v="80"/>
    <n v="1680"/>
    <n v="0.09"/>
    <n v="151.19999999999999"/>
    <x v="0"/>
  </r>
  <r>
    <s v="Order-62"/>
    <x v="5"/>
    <x v="0"/>
    <x v="3"/>
    <n v="10"/>
    <n v="80"/>
    <n v="800"/>
    <n v="0.1"/>
    <n v="80"/>
    <x v="1"/>
  </r>
  <r>
    <s v="Order-63"/>
    <x v="5"/>
    <x v="2"/>
    <x v="1"/>
    <n v="15"/>
    <n v="230"/>
    <n v="3450"/>
    <n v="0.09"/>
    <n v="310.5"/>
    <x v="2"/>
  </r>
  <r>
    <s v="Order-64"/>
    <x v="6"/>
    <x v="0"/>
    <x v="0"/>
    <n v="14"/>
    <n v="80"/>
    <n v="1120"/>
    <n v="0.08"/>
    <n v="89.600000000000009"/>
    <x v="3"/>
  </r>
  <r>
    <s v="Order-65"/>
    <x v="6"/>
    <x v="0"/>
    <x v="4"/>
    <n v="10"/>
    <n v="80"/>
    <n v="800"/>
    <n v="0.06"/>
    <n v="48"/>
    <x v="4"/>
  </r>
  <r>
    <s v="Order-66"/>
    <x v="6"/>
    <x v="4"/>
    <x v="0"/>
    <n v="5"/>
    <n v="150"/>
    <n v="750"/>
    <n v="0.11"/>
    <n v="82.5"/>
    <x v="5"/>
  </r>
  <r>
    <s v="Order-67"/>
    <x v="6"/>
    <x v="2"/>
    <x v="3"/>
    <n v="3"/>
    <n v="230"/>
    <n v="690"/>
    <n v="0.01"/>
    <n v="6.9"/>
    <x v="6"/>
  </r>
  <r>
    <s v="Order-68"/>
    <x v="6"/>
    <x v="1"/>
    <x v="3"/>
    <n v="4"/>
    <n v="40"/>
    <n v="160"/>
    <n v="0.05"/>
    <n v="8"/>
    <x v="7"/>
  </r>
  <r>
    <s v="Order-69"/>
    <x v="6"/>
    <x v="4"/>
    <x v="2"/>
    <n v="18"/>
    <n v="150"/>
    <n v="2700"/>
    <n v="0.06"/>
    <n v="162"/>
    <x v="8"/>
  </r>
  <r>
    <s v="Order-70"/>
    <x v="6"/>
    <x v="1"/>
    <x v="4"/>
    <n v="20"/>
    <n v="40"/>
    <n v="800"/>
    <n v="0.1"/>
    <n v="80"/>
    <x v="9"/>
  </r>
  <r>
    <s v="Order-71"/>
    <x v="6"/>
    <x v="0"/>
    <x v="3"/>
    <n v="16"/>
    <n v="80"/>
    <n v="1280"/>
    <n v="0.05"/>
    <n v="64"/>
    <x v="0"/>
  </r>
  <r>
    <s v="Order-72"/>
    <x v="6"/>
    <x v="1"/>
    <x v="2"/>
    <n v="4"/>
    <n v="40"/>
    <n v="160"/>
    <n v="0.06"/>
    <n v="9.6"/>
    <x v="1"/>
  </r>
  <r>
    <s v="Order-73"/>
    <x v="6"/>
    <x v="1"/>
    <x v="1"/>
    <n v="4"/>
    <n v="40"/>
    <n v="160"/>
    <n v="0.03"/>
    <n v="4.8"/>
    <x v="2"/>
  </r>
  <r>
    <s v="Order-74"/>
    <x v="6"/>
    <x v="1"/>
    <x v="1"/>
    <n v="15"/>
    <n v="40"/>
    <n v="600"/>
    <n v="0.02"/>
    <n v="12"/>
    <x v="3"/>
  </r>
  <r>
    <s v="Order-75"/>
    <x v="6"/>
    <x v="1"/>
    <x v="2"/>
    <n v="20"/>
    <n v="40"/>
    <n v="800"/>
    <n v="0.01"/>
    <n v="8"/>
    <x v="4"/>
  </r>
  <r>
    <s v="Order-76"/>
    <x v="6"/>
    <x v="3"/>
    <x v="4"/>
    <n v="14"/>
    <n v="16"/>
    <n v="224"/>
    <n v="0.06"/>
    <n v="13.44"/>
    <x v="5"/>
  </r>
  <r>
    <s v="Order-77"/>
    <x v="7"/>
    <x v="4"/>
    <x v="2"/>
    <n v="11"/>
    <n v="150"/>
    <n v="1650"/>
    <n v="0.11"/>
    <n v="181.5"/>
    <x v="6"/>
  </r>
  <r>
    <s v="Order-78"/>
    <x v="7"/>
    <x v="4"/>
    <x v="2"/>
    <n v="9"/>
    <n v="150"/>
    <n v="1350"/>
    <n v="0.02"/>
    <n v="27"/>
    <x v="7"/>
  </r>
  <r>
    <s v="Order-79"/>
    <x v="7"/>
    <x v="3"/>
    <x v="4"/>
    <n v="11"/>
    <n v="16"/>
    <n v="176"/>
    <n v="0.12"/>
    <n v="21.119999999999997"/>
    <x v="8"/>
  </r>
  <r>
    <s v="Order-80"/>
    <x v="7"/>
    <x v="1"/>
    <x v="2"/>
    <n v="13"/>
    <n v="40"/>
    <n v="520"/>
    <n v="0.02"/>
    <n v="10.4"/>
    <x v="9"/>
  </r>
  <r>
    <s v="Order-81"/>
    <x v="7"/>
    <x v="1"/>
    <x v="2"/>
    <n v="4"/>
    <n v="40"/>
    <n v="160"/>
    <n v="0.1"/>
    <n v="16"/>
    <x v="10"/>
  </r>
  <r>
    <s v="Order-82"/>
    <x v="7"/>
    <x v="2"/>
    <x v="0"/>
    <n v="3"/>
    <n v="230"/>
    <n v="690"/>
    <n v="0.11"/>
    <n v="75.900000000000006"/>
    <x v="11"/>
  </r>
  <r>
    <s v="Order-83"/>
    <x v="7"/>
    <x v="0"/>
    <x v="2"/>
    <n v="6"/>
    <n v="80"/>
    <n v="480"/>
    <n v="0.09"/>
    <n v="43.199999999999996"/>
    <x v="0"/>
  </r>
  <r>
    <s v="Order-84"/>
    <x v="7"/>
    <x v="4"/>
    <x v="0"/>
    <n v="9"/>
    <n v="150"/>
    <n v="1350"/>
    <n v="0.1"/>
    <n v="135"/>
    <x v="1"/>
  </r>
  <r>
    <s v="Order-85"/>
    <x v="7"/>
    <x v="0"/>
    <x v="1"/>
    <n v="14"/>
    <n v="80"/>
    <n v="1120"/>
    <n v="0.11"/>
    <n v="123.2"/>
    <x v="2"/>
  </r>
  <r>
    <s v="Order-86"/>
    <x v="7"/>
    <x v="0"/>
    <x v="0"/>
    <n v="18"/>
    <n v="80"/>
    <n v="1440"/>
    <n v="0.02"/>
    <n v="28.8"/>
    <x v="3"/>
  </r>
  <r>
    <s v="Order-87"/>
    <x v="7"/>
    <x v="1"/>
    <x v="0"/>
    <n v="20"/>
    <n v="40"/>
    <n v="800"/>
    <n v="0.04"/>
    <n v="32"/>
    <x v="4"/>
  </r>
  <r>
    <s v="Order-88"/>
    <x v="8"/>
    <x v="3"/>
    <x v="2"/>
    <n v="8"/>
    <n v="16"/>
    <n v="128"/>
    <n v="0.03"/>
    <n v="3.84"/>
    <x v="5"/>
  </r>
  <r>
    <s v="Order-89"/>
    <x v="8"/>
    <x v="0"/>
    <x v="1"/>
    <n v="14"/>
    <n v="80"/>
    <n v="1120"/>
    <n v="0.06"/>
    <n v="67.2"/>
    <x v="6"/>
  </r>
  <r>
    <s v="Order-90"/>
    <x v="8"/>
    <x v="4"/>
    <x v="0"/>
    <n v="20"/>
    <n v="150"/>
    <n v="3000"/>
    <n v="0.01"/>
    <n v="30"/>
    <x v="7"/>
  </r>
  <r>
    <s v="Order-91"/>
    <x v="8"/>
    <x v="1"/>
    <x v="3"/>
    <n v="15"/>
    <n v="40"/>
    <n v="600"/>
    <n v="0.03"/>
    <n v="18"/>
    <x v="8"/>
  </r>
  <r>
    <s v="Order-92"/>
    <x v="8"/>
    <x v="1"/>
    <x v="1"/>
    <n v="18"/>
    <n v="40"/>
    <n v="720"/>
    <n v="0.08"/>
    <n v="57.6"/>
    <x v="9"/>
  </r>
  <r>
    <s v="Order-93"/>
    <x v="8"/>
    <x v="1"/>
    <x v="4"/>
    <n v="11"/>
    <n v="40"/>
    <n v="440"/>
    <n v="0.05"/>
    <n v="22"/>
    <x v="10"/>
  </r>
  <r>
    <s v="Order-94"/>
    <x v="9"/>
    <x v="1"/>
    <x v="4"/>
    <n v="23"/>
    <n v="40"/>
    <n v="920"/>
    <n v="0.04"/>
    <n v="36.800000000000004"/>
    <x v="11"/>
  </r>
  <r>
    <s v="Order-95"/>
    <x v="9"/>
    <x v="3"/>
    <x v="4"/>
    <n v="17"/>
    <n v="16"/>
    <n v="272"/>
    <n v="0.1"/>
    <n v="27.200000000000003"/>
    <x v="0"/>
  </r>
  <r>
    <s v="Order-96"/>
    <x v="9"/>
    <x v="3"/>
    <x v="1"/>
    <n v="4"/>
    <n v="16"/>
    <n v="64"/>
    <n v="7.0000000000000007E-2"/>
    <n v="4.4800000000000004"/>
    <x v="1"/>
  </r>
  <r>
    <s v="Order-97"/>
    <x v="9"/>
    <x v="0"/>
    <x v="2"/>
    <n v="23"/>
    <n v="80"/>
    <n v="1840"/>
    <n v="0.05"/>
    <n v="92"/>
    <x v="2"/>
  </r>
  <r>
    <s v="Order-98"/>
    <x v="9"/>
    <x v="2"/>
    <x v="2"/>
    <n v="10"/>
    <n v="230"/>
    <n v="2300"/>
    <n v="0.02"/>
    <n v="46"/>
    <x v="3"/>
  </r>
  <r>
    <s v="Order-99"/>
    <x v="9"/>
    <x v="3"/>
    <x v="2"/>
    <n v="14"/>
    <n v="16"/>
    <n v="224"/>
    <n v="0.01"/>
    <n v="2.2400000000000002"/>
    <x v="4"/>
  </r>
  <r>
    <s v="Order-100"/>
    <x v="9"/>
    <x v="1"/>
    <x v="1"/>
    <n v="19"/>
    <n v="40"/>
    <n v="760"/>
    <n v="0.1"/>
    <n v="76"/>
    <x v="5"/>
  </r>
  <r>
    <s v="Order-101"/>
    <x v="9"/>
    <x v="0"/>
    <x v="4"/>
    <n v="22"/>
    <n v="80"/>
    <n v="1760"/>
    <n v="0.09"/>
    <n v="158.4"/>
    <x v="6"/>
  </r>
  <r>
    <s v="Order-102"/>
    <x v="9"/>
    <x v="3"/>
    <x v="0"/>
    <n v="18"/>
    <n v="16"/>
    <n v="288"/>
    <n v="0.05"/>
    <n v="14.4"/>
    <x v="7"/>
  </r>
  <r>
    <s v="Order-103"/>
    <x v="9"/>
    <x v="1"/>
    <x v="0"/>
    <n v="18"/>
    <n v="40"/>
    <n v="720"/>
    <n v="0.11"/>
    <n v="79.2"/>
    <x v="8"/>
  </r>
  <r>
    <s v="Order-104"/>
    <x v="9"/>
    <x v="1"/>
    <x v="4"/>
    <n v="21"/>
    <n v="40"/>
    <n v="840"/>
    <n v="0.01"/>
    <n v="8.4"/>
    <x v="9"/>
  </r>
  <r>
    <s v="Order-105"/>
    <x v="9"/>
    <x v="0"/>
    <x v="0"/>
    <n v="6"/>
    <n v="80"/>
    <n v="480"/>
    <n v="7.0000000000000007E-2"/>
    <n v="33.6"/>
    <x v="10"/>
  </r>
  <r>
    <s v="Order-106"/>
    <x v="9"/>
    <x v="4"/>
    <x v="4"/>
    <n v="17"/>
    <n v="150"/>
    <n v="2550"/>
    <n v="0.02"/>
    <n v="51"/>
    <x v="11"/>
  </r>
  <r>
    <s v="Order-107"/>
    <x v="9"/>
    <x v="0"/>
    <x v="2"/>
    <n v="16"/>
    <n v="80"/>
    <n v="1280"/>
    <n v="0.02"/>
    <n v="25.6"/>
    <x v="0"/>
  </r>
  <r>
    <s v="Order-108"/>
    <x v="9"/>
    <x v="1"/>
    <x v="1"/>
    <n v="15"/>
    <n v="40"/>
    <n v="600"/>
    <n v="0.04"/>
    <n v="24"/>
    <x v="1"/>
  </r>
  <r>
    <s v="Order-109"/>
    <x v="9"/>
    <x v="2"/>
    <x v="3"/>
    <n v="2"/>
    <n v="230"/>
    <n v="460"/>
    <n v="0.08"/>
    <n v="36.800000000000004"/>
    <x v="2"/>
  </r>
  <r>
    <s v="Order-110"/>
    <x v="9"/>
    <x v="1"/>
    <x v="4"/>
    <n v="3"/>
    <n v="40"/>
    <n v="120"/>
    <n v="0.03"/>
    <n v="3.5999999999999996"/>
    <x v="3"/>
  </r>
  <r>
    <s v="Order-111"/>
    <x v="9"/>
    <x v="2"/>
    <x v="4"/>
    <n v="21"/>
    <n v="230"/>
    <n v="4830"/>
    <n v="0.05"/>
    <n v="241.5"/>
    <x v="4"/>
  </r>
  <r>
    <s v="Order-112"/>
    <x v="9"/>
    <x v="4"/>
    <x v="0"/>
    <n v="11"/>
    <n v="150"/>
    <n v="1650"/>
    <n v="0.05"/>
    <n v="82.5"/>
    <x v="5"/>
  </r>
  <r>
    <s v="Order-113"/>
    <x v="10"/>
    <x v="4"/>
    <x v="1"/>
    <n v="15"/>
    <n v="150"/>
    <n v="2250"/>
    <n v="0.02"/>
    <n v="45"/>
    <x v="6"/>
  </r>
  <r>
    <s v="Order-114"/>
    <x v="10"/>
    <x v="0"/>
    <x v="3"/>
    <n v="16"/>
    <n v="80"/>
    <n v="1280"/>
    <n v="0.1"/>
    <n v="128"/>
    <x v="7"/>
  </r>
  <r>
    <s v="Order-115"/>
    <x v="10"/>
    <x v="2"/>
    <x v="4"/>
    <n v="17"/>
    <n v="230"/>
    <n v="3910"/>
    <n v="0.11"/>
    <n v="430.1"/>
    <x v="8"/>
  </r>
  <r>
    <s v="Order-116"/>
    <x v="10"/>
    <x v="1"/>
    <x v="4"/>
    <n v="16"/>
    <n v="40"/>
    <n v="640"/>
    <n v="0.11"/>
    <n v="70.400000000000006"/>
    <x v="9"/>
  </r>
  <r>
    <s v="Order-117"/>
    <x v="10"/>
    <x v="0"/>
    <x v="3"/>
    <n v="2"/>
    <n v="80"/>
    <n v="160"/>
    <n v="0.08"/>
    <n v="12.8"/>
    <x v="10"/>
  </r>
  <r>
    <s v="Order-118"/>
    <x v="10"/>
    <x v="4"/>
    <x v="1"/>
    <n v="22"/>
    <n v="150"/>
    <n v="3300"/>
    <n v="0.02"/>
    <n v="66"/>
    <x v="11"/>
  </r>
  <r>
    <s v="Order-119"/>
    <x v="10"/>
    <x v="0"/>
    <x v="0"/>
    <n v="16"/>
    <n v="80"/>
    <n v="1280"/>
    <n v="0.03"/>
    <n v="38.4"/>
    <x v="0"/>
  </r>
  <r>
    <s v="Order-120"/>
    <x v="11"/>
    <x v="3"/>
    <x v="0"/>
    <n v="20"/>
    <n v="16"/>
    <n v="320"/>
    <n v="0.11"/>
    <n v="35.200000000000003"/>
    <x v="1"/>
  </r>
  <r>
    <s v="Order-121"/>
    <x v="11"/>
    <x v="0"/>
    <x v="4"/>
    <n v="9"/>
    <n v="80"/>
    <n v="720"/>
    <n v="7.0000000000000007E-2"/>
    <n v="50.400000000000006"/>
    <x v="2"/>
  </r>
  <r>
    <s v="Order-122"/>
    <x v="11"/>
    <x v="2"/>
    <x v="4"/>
    <n v="5"/>
    <n v="230"/>
    <n v="1150"/>
    <n v="0.12"/>
    <n v="138"/>
    <x v="3"/>
  </r>
  <r>
    <s v="Order-123"/>
    <x v="11"/>
    <x v="3"/>
    <x v="0"/>
    <n v="20"/>
    <n v="16"/>
    <n v="320"/>
    <n v="0.01"/>
    <n v="3.2"/>
    <x v="4"/>
  </r>
  <r>
    <s v="Order-124"/>
    <x v="11"/>
    <x v="3"/>
    <x v="0"/>
    <n v="16"/>
    <n v="16"/>
    <n v="256"/>
    <n v="0.03"/>
    <n v="7.68"/>
    <x v="5"/>
  </r>
  <r>
    <s v="Order-125"/>
    <x v="11"/>
    <x v="4"/>
    <x v="3"/>
    <n v="15"/>
    <n v="150"/>
    <n v="2250"/>
    <n v="0.05"/>
    <n v="112.5"/>
    <x v="6"/>
  </r>
  <r>
    <s v="Order-126"/>
    <x v="11"/>
    <x v="2"/>
    <x v="1"/>
    <n v="19"/>
    <n v="230"/>
    <n v="4370"/>
    <n v="0.11"/>
    <n v="480.7"/>
    <x v="7"/>
  </r>
  <r>
    <s v="Order-127"/>
    <x v="12"/>
    <x v="4"/>
    <x v="2"/>
    <n v="2"/>
    <n v="150"/>
    <n v="300"/>
    <n v="0.02"/>
    <n v="6"/>
    <x v="8"/>
  </r>
  <r>
    <s v="Order-128"/>
    <x v="12"/>
    <x v="0"/>
    <x v="4"/>
    <n v="16"/>
    <n v="80"/>
    <n v="1280"/>
    <n v="0.05"/>
    <n v="64"/>
    <x v="9"/>
  </r>
  <r>
    <s v="Order-129"/>
    <x v="12"/>
    <x v="1"/>
    <x v="2"/>
    <n v="2"/>
    <n v="40"/>
    <n v="80"/>
    <n v="0.03"/>
    <n v="2.4"/>
    <x v="10"/>
  </r>
  <r>
    <s v="Order-130"/>
    <x v="12"/>
    <x v="0"/>
    <x v="1"/>
    <n v="5"/>
    <n v="80"/>
    <n v="400"/>
    <n v="0.04"/>
    <n v="16"/>
    <x v="11"/>
  </r>
  <r>
    <s v="Order-131"/>
    <x v="12"/>
    <x v="2"/>
    <x v="3"/>
    <n v="17"/>
    <n v="230"/>
    <n v="3910"/>
    <n v="0.12"/>
    <n v="469.2"/>
    <x v="0"/>
  </r>
  <r>
    <s v="Order-132"/>
    <x v="12"/>
    <x v="0"/>
    <x v="0"/>
    <n v="8"/>
    <n v="80"/>
    <n v="640"/>
    <n v="0.08"/>
    <n v="51.2"/>
    <x v="1"/>
  </r>
  <r>
    <s v="Order-133"/>
    <x v="12"/>
    <x v="1"/>
    <x v="1"/>
    <n v="4"/>
    <n v="40"/>
    <n v="160"/>
    <n v="0.06"/>
    <n v="9.6"/>
    <x v="2"/>
  </r>
  <r>
    <s v="Order-134"/>
    <x v="12"/>
    <x v="3"/>
    <x v="2"/>
    <n v="17"/>
    <n v="16"/>
    <n v="272"/>
    <n v="0.05"/>
    <n v="13.600000000000001"/>
    <x v="3"/>
  </r>
  <r>
    <s v="Order-135"/>
    <x v="12"/>
    <x v="2"/>
    <x v="3"/>
    <n v="8"/>
    <n v="230"/>
    <n v="1840"/>
    <n v="0.01"/>
    <n v="18.400000000000002"/>
    <x v="4"/>
  </r>
  <r>
    <s v="Order-136"/>
    <x v="12"/>
    <x v="3"/>
    <x v="4"/>
    <n v="19"/>
    <n v="16"/>
    <n v="304"/>
    <n v="0.02"/>
    <n v="6.08"/>
    <x v="5"/>
  </r>
  <r>
    <s v="Order-137"/>
    <x v="13"/>
    <x v="1"/>
    <x v="0"/>
    <n v="18"/>
    <n v="40"/>
    <n v="720"/>
    <n v="0.06"/>
    <n v="43.199999999999996"/>
    <x v="6"/>
  </r>
  <r>
    <s v="Order-138"/>
    <x v="13"/>
    <x v="4"/>
    <x v="4"/>
    <n v="23"/>
    <n v="150"/>
    <n v="3450"/>
    <n v="0.08"/>
    <n v="276"/>
    <x v="7"/>
  </r>
  <r>
    <s v="Order-139"/>
    <x v="13"/>
    <x v="2"/>
    <x v="0"/>
    <n v="5"/>
    <n v="230"/>
    <n v="1150"/>
    <n v="0.1"/>
    <n v="115"/>
    <x v="8"/>
  </r>
  <r>
    <s v="Order-140"/>
    <x v="13"/>
    <x v="0"/>
    <x v="3"/>
    <n v="21"/>
    <n v="80"/>
    <n v="1680"/>
    <n v="0.02"/>
    <n v="33.6"/>
    <x v="9"/>
  </r>
  <r>
    <s v="Order-141"/>
    <x v="13"/>
    <x v="3"/>
    <x v="2"/>
    <n v="6"/>
    <n v="16"/>
    <n v="96"/>
    <n v="7.0000000000000007E-2"/>
    <n v="6.7200000000000006"/>
    <x v="0"/>
  </r>
  <r>
    <s v="Order-142"/>
    <x v="13"/>
    <x v="1"/>
    <x v="0"/>
    <n v="9"/>
    <n v="40"/>
    <n v="360"/>
    <n v="0.01"/>
    <n v="3.6"/>
    <x v="1"/>
  </r>
  <r>
    <s v="Order-143"/>
    <x v="13"/>
    <x v="2"/>
    <x v="1"/>
    <n v="9"/>
    <n v="230"/>
    <n v="2070"/>
    <n v="0.03"/>
    <n v="62.099999999999994"/>
    <x v="2"/>
  </r>
  <r>
    <s v="Order-144"/>
    <x v="13"/>
    <x v="2"/>
    <x v="2"/>
    <n v="5"/>
    <n v="230"/>
    <n v="1150"/>
    <n v="0.1"/>
    <n v="115"/>
    <x v="3"/>
  </r>
  <r>
    <s v="Order-145"/>
    <x v="13"/>
    <x v="1"/>
    <x v="3"/>
    <n v="7"/>
    <n v="40"/>
    <n v="280"/>
    <n v="0.11"/>
    <n v="30.8"/>
    <x v="4"/>
  </r>
  <r>
    <s v="Order-146"/>
    <x v="13"/>
    <x v="2"/>
    <x v="0"/>
    <n v="20"/>
    <n v="230"/>
    <n v="4600"/>
    <n v="0.04"/>
    <n v="184"/>
    <x v="5"/>
  </r>
  <r>
    <s v="Order-147"/>
    <x v="13"/>
    <x v="4"/>
    <x v="0"/>
    <n v="22"/>
    <n v="150"/>
    <n v="3300"/>
    <n v="7.0000000000000007E-2"/>
    <n v="231.00000000000003"/>
    <x v="6"/>
  </r>
  <r>
    <s v="Order-148"/>
    <x v="14"/>
    <x v="2"/>
    <x v="2"/>
    <n v="6"/>
    <n v="230"/>
    <n v="1380"/>
    <n v="0.05"/>
    <n v="69"/>
    <x v="7"/>
  </r>
  <r>
    <s v="Order-149"/>
    <x v="14"/>
    <x v="2"/>
    <x v="2"/>
    <n v="15"/>
    <n v="230"/>
    <n v="3450"/>
    <n v="0.11"/>
    <n v="379.5"/>
    <x v="8"/>
  </r>
  <r>
    <s v="Order-150"/>
    <x v="14"/>
    <x v="1"/>
    <x v="1"/>
    <n v="8"/>
    <n v="40"/>
    <n v="320"/>
    <n v="0.09"/>
    <n v="28.799999999999997"/>
    <x v="9"/>
  </r>
  <r>
    <s v="Order-151"/>
    <x v="14"/>
    <x v="1"/>
    <x v="0"/>
    <n v="5"/>
    <n v="40"/>
    <n v="200"/>
    <n v="0.06"/>
    <n v="12"/>
    <x v="10"/>
  </r>
  <r>
    <s v="Order-152"/>
    <x v="14"/>
    <x v="0"/>
    <x v="4"/>
    <n v="6"/>
    <n v="80"/>
    <n v="480"/>
    <n v="0.09"/>
    <n v="43.199999999999996"/>
    <x v="11"/>
  </r>
  <r>
    <s v="Order-153"/>
    <x v="14"/>
    <x v="1"/>
    <x v="3"/>
    <n v="22"/>
    <n v="40"/>
    <n v="880"/>
    <n v="0.01"/>
    <n v="8.8000000000000007"/>
    <x v="0"/>
  </r>
  <r>
    <s v="Order-154"/>
    <x v="14"/>
    <x v="3"/>
    <x v="0"/>
    <n v="7"/>
    <n v="16"/>
    <n v="112"/>
    <n v="0.08"/>
    <n v="8.9600000000000009"/>
    <x v="1"/>
  </r>
  <r>
    <s v="Order-155"/>
    <x v="14"/>
    <x v="4"/>
    <x v="2"/>
    <n v="22"/>
    <n v="150"/>
    <n v="3300"/>
    <n v="0.04"/>
    <n v="132"/>
    <x v="2"/>
  </r>
  <r>
    <s v="Order-156"/>
    <x v="14"/>
    <x v="3"/>
    <x v="3"/>
    <n v="15"/>
    <n v="16"/>
    <n v="240"/>
    <n v="0.12"/>
    <n v="28.799999999999997"/>
    <x v="3"/>
  </r>
  <r>
    <s v="Order-157"/>
    <x v="14"/>
    <x v="0"/>
    <x v="2"/>
    <n v="20"/>
    <n v="80"/>
    <n v="1600"/>
    <n v="7.0000000000000007E-2"/>
    <n v="112.00000000000001"/>
    <x v="4"/>
  </r>
  <r>
    <s v="Order-158"/>
    <x v="14"/>
    <x v="0"/>
    <x v="2"/>
    <n v="7"/>
    <n v="80"/>
    <n v="560"/>
    <n v="0.05"/>
    <n v="28"/>
    <x v="5"/>
  </r>
  <r>
    <s v="Order-159"/>
    <x v="14"/>
    <x v="0"/>
    <x v="1"/>
    <n v="10"/>
    <n v="80"/>
    <n v="800"/>
    <n v="0.11"/>
    <n v="88"/>
    <x v="6"/>
  </r>
  <r>
    <s v="Order-160"/>
    <x v="14"/>
    <x v="0"/>
    <x v="1"/>
    <n v="2"/>
    <n v="80"/>
    <n v="160"/>
    <n v="7.0000000000000007E-2"/>
    <n v="11.200000000000001"/>
    <x v="7"/>
  </r>
  <r>
    <s v="Order-161"/>
    <x v="14"/>
    <x v="3"/>
    <x v="4"/>
    <n v="23"/>
    <n v="16"/>
    <n v="368"/>
    <n v="0.01"/>
    <n v="3.68"/>
    <x v="8"/>
  </r>
  <r>
    <s v="Order-162"/>
    <x v="14"/>
    <x v="2"/>
    <x v="1"/>
    <n v="12"/>
    <n v="230"/>
    <n v="2760"/>
    <n v="0.03"/>
    <n v="82.8"/>
    <x v="9"/>
  </r>
  <r>
    <s v="Order-163"/>
    <x v="15"/>
    <x v="2"/>
    <x v="0"/>
    <n v="7"/>
    <n v="230"/>
    <n v="1610"/>
    <n v="0.08"/>
    <n v="128.80000000000001"/>
    <x v="10"/>
  </r>
  <r>
    <s v="Order-164"/>
    <x v="15"/>
    <x v="1"/>
    <x v="3"/>
    <n v="11"/>
    <n v="40"/>
    <n v="440"/>
    <n v="0.06"/>
    <n v="26.4"/>
    <x v="11"/>
  </r>
  <r>
    <s v="Order-165"/>
    <x v="15"/>
    <x v="2"/>
    <x v="1"/>
    <n v="7"/>
    <n v="230"/>
    <n v="1610"/>
    <n v="0.08"/>
    <n v="128.80000000000001"/>
    <x v="0"/>
  </r>
  <r>
    <s v="Order-166"/>
    <x v="15"/>
    <x v="0"/>
    <x v="0"/>
    <n v="8"/>
    <n v="80"/>
    <n v="640"/>
    <n v="0.09"/>
    <n v="57.599999999999994"/>
    <x v="1"/>
  </r>
  <r>
    <s v="Order-167"/>
    <x v="15"/>
    <x v="0"/>
    <x v="3"/>
    <n v="16"/>
    <n v="80"/>
    <n v="1280"/>
    <n v="7.0000000000000007E-2"/>
    <n v="89.600000000000009"/>
    <x v="2"/>
  </r>
  <r>
    <s v="Order-168"/>
    <x v="15"/>
    <x v="0"/>
    <x v="2"/>
    <n v="16"/>
    <n v="80"/>
    <n v="1280"/>
    <n v="0.04"/>
    <n v="51.2"/>
    <x v="3"/>
  </r>
  <r>
    <s v="Order-169"/>
    <x v="15"/>
    <x v="3"/>
    <x v="2"/>
    <n v="9"/>
    <n v="16"/>
    <n v="144"/>
    <n v="0.05"/>
    <n v="7.2"/>
    <x v="4"/>
  </r>
  <r>
    <s v="Order-170"/>
    <x v="15"/>
    <x v="4"/>
    <x v="4"/>
    <n v="11"/>
    <n v="150"/>
    <n v="1650"/>
    <n v="0.09"/>
    <n v="148.5"/>
    <x v="5"/>
  </r>
  <r>
    <s v="Order-171"/>
    <x v="15"/>
    <x v="3"/>
    <x v="0"/>
    <n v="4"/>
    <n v="16"/>
    <n v="64"/>
    <n v="0.12"/>
    <n v="7.68"/>
    <x v="6"/>
  </r>
  <r>
    <s v="Order-172"/>
    <x v="15"/>
    <x v="1"/>
    <x v="3"/>
    <n v="15"/>
    <n v="40"/>
    <n v="600"/>
    <n v="0.03"/>
    <n v="18"/>
    <x v="7"/>
  </r>
  <r>
    <s v="Order-173"/>
    <x v="15"/>
    <x v="1"/>
    <x v="4"/>
    <n v="20"/>
    <n v="40"/>
    <n v="800"/>
    <n v="0.03"/>
    <n v="24"/>
    <x v="8"/>
  </r>
  <r>
    <s v="Order-174"/>
    <x v="16"/>
    <x v="4"/>
    <x v="2"/>
    <n v="9"/>
    <n v="150"/>
    <n v="1350"/>
    <n v="0.06"/>
    <n v="81"/>
    <x v="9"/>
  </r>
  <r>
    <s v="Order-175"/>
    <x v="16"/>
    <x v="1"/>
    <x v="1"/>
    <n v="23"/>
    <n v="40"/>
    <n v="920"/>
    <n v="0.06"/>
    <n v="55.199999999999996"/>
    <x v="10"/>
  </r>
  <r>
    <s v="Order-176"/>
    <x v="16"/>
    <x v="0"/>
    <x v="4"/>
    <n v="13"/>
    <n v="80"/>
    <n v="1040"/>
    <n v="0.05"/>
    <n v="52"/>
    <x v="11"/>
  </r>
  <r>
    <s v="Order-177"/>
    <x v="16"/>
    <x v="3"/>
    <x v="0"/>
    <n v="22"/>
    <n v="16"/>
    <n v="352"/>
    <n v="0.01"/>
    <n v="3.52"/>
    <x v="0"/>
  </r>
  <r>
    <s v="Order-178"/>
    <x v="16"/>
    <x v="1"/>
    <x v="0"/>
    <n v="19"/>
    <n v="40"/>
    <n v="760"/>
    <n v="0.04"/>
    <n v="30.400000000000002"/>
    <x v="1"/>
  </r>
  <r>
    <s v="Order-179"/>
    <x v="16"/>
    <x v="0"/>
    <x v="3"/>
    <n v="4"/>
    <n v="80"/>
    <n v="320"/>
    <n v="0.11"/>
    <n v="35.200000000000003"/>
    <x v="2"/>
  </r>
  <r>
    <s v="Order-180"/>
    <x v="16"/>
    <x v="3"/>
    <x v="0"/>
    <n v="12"/>
    <n v="16"/>
    <n v="192"/>
    <n v="0.11"/>
    <n v="21.12"/>
    <x v="3"/>
  </r>
  <r>
    <s v="Order-181"/>
    <x v="16"/>
    <x v="4"/>
    <x v="1"/>
    <n v="16"/>
    <n v="150"/>
    <n v="2400"/>
    <n v="0.08"/>
    <n v="192"/>
    <x v="4"/>
  </r>
  <r>
    <s v="Order-182"/>
    <x v="16"/>
    <x v="0"/>
    <x v="0"/>
    <n v="7"/>
    <n v="80"/>
    <n v="560"/>
    <n v="0.02"/>
    <n v="11.200000000000001"/>
    <x v="5"/>
  </r>
  <r>
    <s v="Order-183"/>
    <x v="16"/>
    <x v="1"/>
    <x v="4"/>
    <n v="20"/>
    <n v="40"/>
    <n v="800"/>
    <n v="7.0000000000000007E-2"/>
    <n v="56.000000000000007"/>
    <x v="6"/>
  </r>
  <r>
    <s v="Order-184"/>
    <x v="16"/>
    <x v="0"/>
    <x v="1"/>
    <n v="15"/>
    <n v="80"/>
    <n v="1200"/>
    <n v="0.12"/>
    <n v="144"/>
    <x v="7"/>
  </r>
  <r>
    <s v="Order-185"/>
    <x v="16"/>
    <x v="1"/>
    <x v="0"/>
    <n v="5"/>
    <n v="40"/>
    <n v="200"/>
    <n v="0.09"/>
    <n v="18"/>
    <x v="8"/>
  </r>
  <r>
    <s v="Order-186"/>
    <x v="16"/>
    <x v="3"/>
    <x v="4"/>
    <n v="12"/>
    <n v="16"/>
    <n v="192"/>
    <n v="0.04"/>
    <n v="7.68"/>
    <x v="9"/>
  </r>
  <r>
    <s v="Order-187"/>
    <x v="17"/>
    <x v="4"/>
    <x v="3"/>
    <n v="3"/>
    <n v="150"/>
    <n v="450"/>
    <n v="0.01"/>
    <n v="4.5"/>
    <x v="10"/>
  </r>
  <r>
    <s v="Order-188"/>
    <x v="17"/>
    <x v="1"/>
    <x v="4"/>
    <n v="7"/>
    <n v="40"/>
    <n v="280"/>
    <n v="0.12"/>
    <n v="33.6"/>
    <x v="11"/>
  </r>
  <r>
    <s v="Order-189"/>
    <x v="17"/>
    <x v="0"/>
    <x v="1"/>
    <n v="2"/>
    <n v="80"/>
    <n v="160"/>
    <n v="0.04"/>
    <n v="6.4"/>
    <x v="0"/>
  </r>
  <r>
    <s v="Order-190"/>
    <x v="17"/>
    <x v="1"/>
    <x v="3"/>
    <n v="6"/>
    <n v="40"/>
    <n v="240"/>
    <n v="7.0000000000000007E-2"/>
    <n v="16.8"/>
    <x v="1"/>
  </r>
  <r>
    <s v="Order-191"/>
    <x v="17"/>
    <x v="3"/>
    <x v="2"/>
    <n v="6"/>
    <n v="16"/>
    <n v="96"/>
    <n v="0.06"/>
    <n v="5.76"/>
    <x v="2"/>
  </r>
  <r>
    <s v="Order-192"/>
    <x v="17"/>
    <x v="3"/>
    <x v="0"/>
    <n v="7"/>
    <n v="16"/>
    <n v="112"/>
    <n v="0.02"/>
    <n v="2.2400000000000002"/>
    <x v="3"/>
  </r>
  <r>
    <s v="Order-193"/>
    <x v="17"/>
    <x v="3"/>
    <x v="1"/>
    <n v="20"/>
    <n v="16"/>
    <n v="320"/>
    <n v="0.06"/>
    <n v="19.2"/>
    <x v="4"/>
  </r>
  <r>
    <s v="Order-194"/>
    <x v="17"/>
    <x v="3"/>
    <x v="1"/>
    <n v="21"/>
    <n v="16"/>
    <n v="336"/>
    <n v="0.02"/>
    <n v="6.72"/>
    <x v="5"/>
  </r>
  <r>
    <s v="Order-195"/>
    <x v="17"/>
    <x v="0"/>
    <x v="3"/>
    <n v="21"/>
    <n v="80"/>
    <n v="1680"/>
    <n v="0.05"/>
    <n v="84"/>
    <x v="6"/>
  </r>
  <r>
    <s v="Order-196"/>
    <x v="17"/>
    <x v="3"/>
    <x v="3"/>
    <n v="10"/>
    <n v="16"/>
    <n v="160"/>
    <n v="0.01"/>
    <n v="1.6"/>
    <x v="7"/>
  </r>
  <r>
    <s v="Order-197"/>
    <x v="18"/>
    <x v="2"/>
    <x v="3"/>
    <n v="2"/>
    <n v="230"/>
    <n v="460"/>
    <n v="0.09"/>
    <n v="41.4"/>
    <x v="8"/>
  </r>
  <r>
    <s v="Order-198"/>
    <x v="18"/>
    <x v="4"/>
    <x v="0"/>
    <n v="20"/>
    <n v="150"/>
    <n v="3000"/>
    <n v="0.03"/>
    <n v="90"/>
    <x v="9"/>
  </r>
  <r>
    <s v="Order-199"/>
    <x v="18"/>
    <x v="1"/>
    <x v="0"/>
    <n v="23"/>
    <n v="40"/>
    <n v="920"/>
    <n v="0.03"/>
    <n v="27.599999999999998"/>
    <x v="10"/>
  </r>
  <r>
    <s v="Order-200"/>
    <x v="18"/>
    <x v="0"/>
    <x v="3"/>
    <n v="17"/>
    <n v="80"/>
    <n v="1360"/>
    <n v="0.05"/>
    <n v="68"/>
    <x v="11"/>
  </r>
  <r>
    <s v="Order-201"/>
    <x v="18"/>
    <x v="2"/>
    <x v="3"/>
    <n v="11"/>
    <n v="230"/>
    <n v="2530"/>
    <n v="0.12"/>
    <n v="303.59999999999997"/>
    <x v="0"/>
  </r>
  <r>
    <s v="Order-202"/>
    <x v="18"/>
    <x v="4"/>
    <x v="1"/>
    <n v="10"/>
    <n v="150"/>
    <n v="1500"/>
    <n v="0.01"/>
    <n v="15"/>
    <x v="1"/>
  </r>
  <r>
    <s v="Order-203"/>
    <x v="18"/>
    <x v="0"/>
    <x v="1"/>
    <n v="17"/>
    <n v="80"/>
    <n v="1360"/>
    <n v="0.03"/>
    <n v="40.799999999999997"/>
    <x v="2"/>
  </r>
  <r>
    <s v="Order-204"/>
    <x v="19"/>
    <x v="2"/>
    <x v="0"/>
    <n v="9"/>
    <n v="230"/>
    <n v="2070"/>
    <n v="7.0000000000000007E-2"/>
    <n v="144.9"/>
    <x v="3"/>
  </r>
  <r>
    <s v="Order-205"/>
    <x v="19"/>
    <x v="2"/>
    <x v="0"/>
    <n v="11"/>
    <n v="230"/>
    <n v="2530"/>
    <n v="0.02"/>
    <n v="50.6"/>
    <x v="4"/>
  </r>
  <r>
    <s v="Order-206"/>
    <x v="19"/>
    <x v="1"/>
    <x v="2"/>
    <n v="2"/>
    <n v="40"/>
    <n v="80"/>
    <n v="0.02"/>
    <n v="1.6"/>
    <x v="5"/>
  </r>
  <r>
    <s v="Order-207"/>
    <x v="19"/>
    <x v="2"/>
    <x v="4"/>
    <n v="3"/>
    <n v="230"/>
    <n v="690"/>
    <n v="0.1"/>
    <n v="69"/>
    <x v="6"/>
  </r>
  <r>
    <s v="Order-208"/>
    <x v="19"/>
    <x v="1"/>
    <x v="4"/>
    <n v="7"/>
    <n v="40"/>
    <n v="280"/>
    <n v="0.05"/>
    <n v="14"/>
    <x v="7"/>
  </r>
  <r>
    <s v="Order-209"/>
    <x v="19"/>
    <x v="4"/>
    <x v="1"/>
    <n v="20"/>
    <n v="150"/>
    <n v="3000"/>
    <n v="0.09"/>
    <n v="270"/>
    <x v="8"/>
  </r>
  <r>
    <s v="Order-210"/>
    <x v="19"/>
    <x v="1"/>
    <x v="2"/>
    <n v="4"/>
    <n v="40"/>
    <n v="160"/>
    <n v="0.11"/>
    <n v="17.600000000000001"/>
    <x v="9"/>
  </r>
  <r>
    <s v="Order-211"/>
    <x v="20"/>
    <x v="2"/>
    <x v="2"/>
    <n v="2"/>
    <n v="230"/>
    <n v="460"/>
    <n v="0.09"/>
    <n v="41.4"/>
    <x v="0"/>
  </r>
  <r>
    <s v="Order-212"/>
    <x v="20"/>
    <x v="1"/>
    <x v="1"/>
    <n v="7"/>
    <n v="40"/>
    <n v="280"/>
    <n v="0.01"/>
    <n v="2.8000000000000003"/>
    <x v="1"/>
  </r>
  <r>
    <s v="Order-213"/>
    <x v="20"/>
    <x v="1"/>
    <x v="0"/>
    <n v="2"/>
    <n v="40"/>
    <n v="80"/>
    <n v="0.12"/>
    <n v="9.6"/>
    <x v="2"/>
  </r>
  <r>
    <s v="Order-214"/>
    <x v="20"/>
    <x v="0"/>
    <x v="1"/>
    <n v="3"/>
    <n v="80"/>
    <n v="240"/>
    <n v="0.02"/>
    <n v="4.8"/>
    <x v="3"/>
  </r>
  <r>
    <s v="Order-215"/>
    <x v="20"/>
    <x v="3"/>
    <x v="0"/>
    <n v="18"/>
    <n v="16"/>
    <n v="288"/>
    <n v="0.11"/>
    <n v="31.68"/>
    <x v="4"/>
  </r>
  <r>
    <s v="Order-216"/>
    <x v="20"/>
    <x v="0"/>
    <x v="1"/>
    <n v="5"/>
    <n v="80"/>
    <n v="400"/>
    <n v="7.0000000000000007E-2"/>
    <n v="28.000000000000004"/>
    <x v="5"/>
  </r>
  <r>
    <s v="Order-217"/>
    <x v="20"/>
    <x v="3"/>
    <x v="2"/>
    <n v="3"/>
    <n v="16"/>
    <n v="48"/>
    <n v="0.05"/>
    <n v="2.4000000000000004"/>
    <x v="6"/>
  </r>
  <r>
    <s v="Order-218"/>
    <x v="20"/>
    <x v="0"/>
    <x v="3"/>
    <n v="7"/>
    <n v="80"/>
    <n v="560"/>
    <n v="0.02"/>
    <n v="11.200000000000001"/>
    <x v="7"/>
  </r>
  <r>
    <s v="Order-219"/>
    <x v="20"/>
    <x v="4"/>
    <x v="3"/>
    <n v="15"/>
    <n v="150"/>
    <n v="2250"/>
    <n v="0.08"/>
    <n v="180"/>
    <x v="8"/>
  </r>
  <r>
    <s v="Order-220"/>
    <x v="20"/>
    <x v="0"/>
    <x v="2"/>
    <n v="10"/>
    <n v="80"/>
    <n v="800"/>
    <n v="0.11"/>
    <n v="88"/>
    <x v="9"/>
  </r>
  <r>
    <s v="Order-221"/>
    <x v="20"/>
    <x v="2"/>
    <x v="4"/>
    <n v="13"/>
    <n v="230"/>
    <n v="2990"/>
    <n v="0.06"/>
    <n v="179.4"/>
    <x v="10"/>
  </r>
  <r>
    <s v="Order-222"/>
    <x v="20"/>
    <x v="1"/>
    <x v="0"/>
    <n v="7"/>
    <n v="40"/>
    <n v="280"/>
    <n v="0.1"/>
    <n v="28"/>
    <x v="11"/>
  </r>
  <r>
    <s v="Order-223"/>
    <x v="20"/>
    <x v="3"/>
    <x v="2"/>
    <n v="6"/>
    <n v="16"/>
    <n v="96"/>
    <n v="0.01"/>
    <n v="0.96"/>
    <x v="0"/>
  </r>
  <r>
    <s v="Order-224"/>
    <x v="21"/>
    <x v="1"/>
    <x v="2"/>
    <n v="11"/>
    <n v="40"/>
    <n v="440"/>
    <n v="0.05"/>
    <n v="22"/>
    <x v="1"/>
  </r>
  <r>
    <s v="Order-225"/>
    <x v="21"/>
    <x v="0"/>
    <x v="3"/>
    <n v="8"/>
    <n v="80"/>
    <n v="640"/>
    <n v="0.06"/>
    <n v="38.4"/>
    <x v="2"/>
  </r>
  <r>
    <s v="Order-226"/>
    <x v="21"/>
    <x v="0"/>
    <x v="0"/>
    <n v="9"/>
    <n v="80"/>
    <n v="720"/>
    <n v="0.04"/>
    <n v="28.8"/>
    <x v="3"/>
  </r>
  <r>
    <s v="Order-227"/>
    <x v="21"/>
    <x v="1"/>
    <x v="4"/>
    <n v="4"/>
    <n v="40"/>
    <n v="160"/>
    <n v="0.09"/>
    <n v="14.399999999999999"/>
    <x v="4"/>
  </r>
  <r>
    <s v="Order-228"/>
    <x v="21"/>
    <x v="0"/>
    <x v="1"/>
    <n v="13"/>
    <n v="80"/>
    <n v="1040"/>
    <n v="0.06"/>
    <n v="62.4"/>
    <x v="5"/>
  </r>
  <r>
    <s v="Order-229"/>
    <x v="21"/>
    <x v="4"/>
    <x v="4"/>
    <n v="4"/>
    <n v="150"/>
    <n v="600"/>
    <n v="0.05"/>
    <n v="30"/>
    <x v="6"/>
  </r>
  <r>
    <s v="Order-230"/>
    <x v="21"/>
    <x v="2"/>
    <x v="2"/>
    <n v="14"/>
    <n v="230"/>
    <n v="3220"/>
    <n v="0.12"/>
    <n v="386.4"/>
    <x v="7"/>
  </r>
  <r>
    <s v="Order-231"/>
    <x v="21"/>
    <x v="4"/>
    <x v="4"/>
    <n v="13"/>
    <n v="150"/>
    <n v="1950"/>
    <n v="0.11"/>
    <n v="214.5"/>
    <x v="8"/>
  </r>
  <r>
    <s v="Order-232"/>
    <x v="21"/>
    <x v="4"/>
    <x v="1"/>
    <n v="16"/>
    <n v="150"/>
    <n v="2400"/>
    <n v="0.03"/>
    <n v="72"/>
    <x v="9"/>
  </r>
  <r>
    <s v="Order-233"/>
    <x v="21"/>
    <x v="3"/>
    <x v="0"/>
    <n v="7"/>
    <n v="16"/>
    <n v="112"/>
    <n v="0.12"/>
    <n v="13.44"/>
    <x v="10"/>
  </r>
  <r>
    <s v="Order-234"/>
    <x v="21"/>
    <x v="4"/>
    <x v="3"/>
    <n v="9"/>
    <n v="150"/>
    <n v="1350"/>
    <n v="0.02"/>
    <n v="27"/>
    <x v="11"/>
  </r>
  <r>
    <s v="Order-235"/>
    <x v="21"/>
    <x v="3"/>
    <x v="0"/>
    <n v="10"/>
    <n v="16"/>
    <n v="160"/>
    <n v="0.08"/>
    <n v="12.8"/>
    <x v="0"/>
  </r>
  <r>
    <s v="Order-236"/>
    <x v="21"/>
    <x v="0"/>
    <x v="3"/>
    <n v="15"/>
    <n v="80"/>
    <n v="1200"/>
    <n v="0.08"/>
    <n v="96"/>
    <x v="1"/>
  </r>
  <r>
    <s v="Order-237"/>
    <x v="21"/>
    <x v="0"/>
    <x v="4"/>
    <n v="9"/>
    <n v="80"/>
    <n v="720"/>
    <n v="0.06"/>
    <n v="43.199999999999996"/>
    <x v="2"/>
  </r>
  <r>
    <s v="Order-238"/>
    <x v="22"/>
    <x v="3"/>
    <x v="3"/>
    <n v="7"/>
    <n v="16"/>
    <n v="112"/>
    <n v="0.08"/>
    <n v="8.9600000000000009"/>
    <x v="3"/>
  </r>
  <r>
    <s v="Order-239"/>
    <x v="22"/>
    <x v="4"/>
    <x v="4"/>
    <n v="7"/>
    <n v="150"/>
    <n v="1050"/>
    <n v="0.03"/>
    <n v="31.5"/>
    <x v="4"/>
  </r>
  <r>
    <s v="Order-240"/>
    <x v="22"/>
    <x v="2"/>
    <x v="3"/>
    <n v="16"/>
    <n v="230"/>
    <n v="3680"/>
    <n v="0.11"/>
    <n v="404.8"/>
    <x v="5"/>
  </r>
  <r>
    <s v="Order-241"/>
    <x v="22"/>
    <x v="3"/>
    <x v="3"/>
    <n v="18"/>
    <n v="16"/>
    <n v="288"/>
    <n v="0.04"/>
    <n v="11.52"/>
    <x v="6"/>
  </r>
  <r>
    <s v="Order-242"/>
    <x v="22"/>
    <x v="2"/>
    <x v="4"/>
    <n v="20"/>
    <n v="230"/>
    <n v="4600"/>
    <n v="0.11"/>
    <n v="506"/>
    <x v="7"/>
  </r>
  <r>
    <s v="Order-243"/>
    <x v="22"/>
    <x v="4"/>
    <x v="0"/>
    <n v="7"/>
    <n v="150"/>
    <n v="1050"/>
    <n v="0.02"/>
    <n v="21"/>
    <x v="8"/>
  </r>
  <r>
    <s v="Order-244"/>
    <x v="22"/>
    <x v="3"/>
    <x v="2"/>
    <n v="11"/>
    <n v="16"/>
    <n v="176"/>
    <n v="0.12"/>
    <n v="21.119999999999997"/>
    <x v="9"/>
  </r>
  <r>
    <s v="Order-245"/>
    <x v="22"/>
    <x v="1"/>
    <x v="2"/>
    <n v="12"/>
    <n v="40"/>
    <n v="480"/>
    <n v="0.02"/>
    <n v="9.6"/>
    <x v="10"/>
  </r>
  <r>
    <s v="Order-246"/>
    <x v="22"/>
    <x v="4"/>
    <x v="4"/>
    <n v="7"/>
    <n v="150"/>
    <n v="1050"/>
    <n v="0.02"/>
    <n v="21"/>
    <x v="11"/>
  </r>
  <r>
    <s v="Order-247"/>
    <x v="22"/>
    <x v="0"/>
    <x v="2"/>
    <n v="14"/>
    <n v="80"/>
    <n v="1120"/>
    <n v="0.1"/>
    <n v="112"/>
    <x v="0"/>
  </r>
  <r>
    <s v="Order-248"/>
    <x v="22"/>
    <x v="2"/>
    <x v="2"/>
    <n v="12"/>
    <n v="230"/>
    <n v="2760"/>
    <n v="0.06"/>
    <n v="165.6"/>
    <x v="1"/>
  </r>
  <r>
    <s v="Order-249"/>
    <x v="23"/>
    <x v="0"/>
    <x v="1"/>
    <n v="21"/>
    <n v="80"/>
    <n v="1680"/>
    <n v="0.04"/>
    <n v="67.2"/>
    <x v="2"/>
  </r>
  <r>
    <s v="Order-250"/>
    <x v="23"/>
    <x v="4"/>
    <x v="0"/>
    <n v="8"/>
    <n v="150"/>
    <n v="1200"/>
    <n v="0.09"/>
    <n v="108"/>
    <x v="3"/>
  </r>
  <r>
    <s v="Order-251"/>
    <x v="23"/>
    <x v="0"/>
    <x v="1"/>
    <n v="16"/>
    <n v="80"/>
    <n v="1280"/>
    <n v="0.04"/>
    <n v="51.2"/>
    <x v="4"/>
  </r>
  <r>
    <s v="Order-252"/>
    <x v="23"/>
    <x v="2"/>
    <x v="1"/>
    <n v="14"/>
    <n v="230"/>
    <n v="3220"/>
    <n v="0.05"/>
    <n v="161"/>
    <x v="5"/>
  </r>
  <r>
    <s v="Order-253"/>
    <x v="23"/>
    <x v="1"/>
    <x v="2"/>
    <n v="2"/>
    <n v="40"/>
    <n v="80"/>
    <n v="0.03"/>
    <n v="2.4"/>
    <x v="6"/>
  </r>
  <r>
    <s v="Order-254"/>
    <x v="23"/>
    <x v="4"/>
    <x v="0"/>
    <n v="4"/>
    <n v="150"/>
    <n v="600"/>
    <n v="0.1"/>
    <n v="60"/>
    <x v="7"/>
  </r>
  <r>
    <s v="Order-255"/>
    <x v="23"/>
    <x v="0"/>
    <x v="2"/>
    <n v="6"/>
    <n v="80"/>
    <n v="480"/>
    <n v="0.01"/>
    <n v="4.8"/>
    <x v="8"/>
  </r>
  <r>
    <s v="Order-256"/>
    <x v="23"/>
    <x v="1"/>
    <x v="2"/>
    <n v="6"/>
    <n v="40"/>
    <n v="240"/>
    <n v="0.06"/>
    <n v="14.399999999999999"/>
    <x v="9"/>
  </r>
  <r>
    <s v="Order-257"/>
    <x v="23"/>
    <x v="4"/>
    <x v="0"/>
    <n v="20"/>
    <n v="150"/>
    <n v="3000"/>
    <n v="0.04"/>
    <n v="120"/>
    <x v="10"/>
  </r>
  <r>
    <s v="Order-258"/>
    <x v="23"/>
    <x v="1"/>
    <x v="2"/>
    <n v="18"/>
    <n v="40"/>
    <n v="720"/>
    <n v="0.03"/>
    <n v="21.599999999999998"/>
    <x v="11"/>
  </r>
  <r>
    <s v="Order-259"/>
    <x v="23"/>
    <x v="2"/>
    <x v="3"/>
    <n v="18"/>
    <n v="230"/>
    <n v="4140"/>
    <n v="0.01"/>
    <n v="41.4"/>
    <x v="0"/>
  </r>
  <r>
    <s v="Order-260"/>
    <x v="23"/>
    <x v="2"/>
    <x v="2"/>
    <n v="15"/>
    <n v="230"/>
    <n v="3450"/>
    <n v="0.04"/>
    <n v="138"/>
    <x v="1"/>
  </r>
  <r>
    <s v="Order-261"/>
    <x v="23"/>
    <x v="3"/>
    <x v="1"/>
    <n v="22"/>
    <n v="16"/>
    <n v="352"/>
    <n v="0.01"/>
    <n v="3.52"/>
    <x v="2"/>
  </r>
  <r>
    <s v="Order-262"/>
    <x v="23"/>
    <x v="4"/>
    <x v="0"/>
    <n v="17"/>
    <n v="150"/>
    <n v="2550"/>
    <n v="0.12"/>
    <n v="306"/>
    <x v="3"/>
  </r>
  <r>
    <s v="Order-263"/>
    <x v="24"/>
    <x v="3"/>
    <x v="1"/>
    <n v="5"/>
    <n v="16"/>
    <n v="80"/>
    <n v="0.11"/>
    <n v="8.8000000000000007"/>
    <x v="4"/>
  </r>
  <r>
    <s v="Order-264"/>
    <x v="24"/>
    <x v="4"/>
    <x v="0"/>
    <n v="23"/>
    <n v="150"/>
    <n v="3450"/>
    <n v="0.1"/>
    <n v="345"/>
    <x v="5"/>
  </r>
  <r>
    <s v="Order-265"/>
    <x v="24"/>
    <x v="4"/>
    <x v="3"/>
    <n v="22"/>
    <n v="150"/>
    <n v="3300"/>
    <n v="0.05"/>
    <n v="165"/>
    <x v="6"/>
  </r>
  <r>
    <s v="Order-266"/>
    <x v="24"/>
    <x v="3"/>
    <x v="4"/>
    <n v="15"/>
    <n v="16"/>
    <n v="240"/>
    <n v="0.01"/>
    <n v="2.4"/>
    <x v="7"/>
  </r>
  <r>
    <s v="Order-267"/>
    <x v="24"/>
    <x v="1"/>
    <x v="3"/>
    <n v="7"/>
    <n v="40"/>
    <n v="280"/>
    <n v="7.0000000000000007E-2"/>
    <n v="19.600000000000001"/>
    <x v="8"/>
  </r>
  <r>
    <s v="Order-268"/>
    <x v="24"/>
    <x v="0"/>
    <x v="4"/>
    <n v="22"/>
    <n v="80"/>
    <n v="1760"/>
    <n v="0.11"/>
    <n v="193.6"/>
    <x v="9"/>
  </r>
  <r>
    <s v="Order-269"/>
    <x v="24"/>
    <x v="4"/>
    <x v="2"/>
    <n v="11"/>
    <n v="150"/>
    <n v="1650"/>
    <n v="0.05"/>
    <n v="82.5"/>
    <x v="10"/>
  </r>
  <r>
    <s v="Order-270"/>
    <x v="24"/>
    <x v="1"/>
    <x v="1"/>
    <n v="21"/>
    <n v="40"/>
    <n v="840"/>
    <n v="0.03"/>
    <n v="25.2"/>
    <x v="11"/>
  </r>
  <r>
    <s v="Order-271"/>
    <x v="24"/>
    <x v="0"/>
    <x v="3"/>
    <n v="23"/>
    <n v="80"/>
    <n v="1840"/>
    <n v="0.11"/>
    <n v="202.4"/>
    <x v="0"/>
  </r>
  <r>
    <s v="Order-272"/>
    <x v="24"/>
    <x v="2"/>
    <x v="2"/>
    <n v="7"/>
    <n v="230"/>
    <n v="1610"/>
    <n v="0.01"/>
    <n v="16.100000000000001"/>
    <x v="1"/>
  </r>
  <r>
    <s v="Order-273"/>
    <x v="24"/>
    <x v="2"/>
    <x v="0"/>
    <n v="16"/>
    <n v="230"/>
    <n v="3680"/>
    <n v="7.0000000000000007E-2"/>
    <n v="257.60000000000002"/>
    <x v="2"/>
  </r>
  <r>
    <s v="Order-274"/>
    <x v="24"/>
    <x v="0"/>
    <x v="1"/>
    <n v="14"/>
    <n v="80"/>
    <n v="1120"/>
    <n v="0.11"/>
    <n v="123.2"/>
    <x v="3"/>
  </r>
  <r>
    <s v="Order-275"/>
    <x v="24"/>
    <x v="4"/>
    <x v="2"/>
    <n v="22"/>
    <n v="150"/>
    <n v="3300"/>
    <n v="0.09"/>
    <n v="297"/>
    <x v="4"/>
  </r>
  <r>
    <s v="Order-276"/>
    <x v="24"/>
    <x v="4"/>
    <x v="3"/>
    <n v="4"/>
    <n v="150"/>
    <n v="600"/>
    <n v="0.12"/>
    <n v="72"/>
    <x v="5"/>
  </r>
  <r>
    <s v="Order-277"/>
    <x v="24"/>
    <x v="4"/>
    <x v="0"/>
    <n v="3"/>
    <n v="150"/>
    <n v="450"/>
    <n v="0.03"/>
    <n v="13.5"/>
    <x v="6"/>
  </r>
  <r>
    <s v="Order-278"/>
    <x v="24"/>
    <x v="1"/>
    <x v="4"/>
    <n v="17"/>
    <n v="40"/>
    <n v="680"/>
    <n v="0.02"/>
    <n v="13.6"/>
    <x v="7"/>
  </r>
  <r>
    <s v="Order-279"/>
    <x v="24"/>
    <x v="0"/>
    <x v="4"/>
    <n v="22"/>
    <n v="80"/>
    <n v="1760"/>
    <n v="0.1"/>
    <n v="176"/>
    <x v="8"/>
  </r>
  <r>
    <s v="Order-280"/>
    <x v="24"/>
    <x v="4"/>
    <x v="4"/>
    <n v="18"/>
    <n v="150"/>
    <n v="2700"/>
    <n v="0.12"/>
    <n v="324"/>
    <x v="9"/>
  </r>
  <r>
    <s v="Order-281"/>
    <x v="25"/>
    <x v="4"/>
    <x v="0"/>
    <n v="4"/>
    <n v="150"/>
    <n v="600"/>
    <n v="0.06"/>
    <n v="36"/>
    <x v="0"/>
  </r>
  <r>
    <s v="Order-282"/>
    <x v="25"/>
    <x v="2"/>
    <x v="1"/>
    <n v="22"/>
    <n v="230"/>
    <n v="5060"/>
    <n v="0.04"/>
    <n v="202.4"/>
    <x v="1"/>
  </r>
  <r>
    <s v="Order-283"/>
    <x v="25"/>
    <x v="4"/>
    <x v="1"/>
    <n v="15"/>
    <n v="150"/>
    <n v="2250"/>
    <n v="0.12"/>
    <n v="270"/>
    <x v="2"/>
  </r>
  <r>
    <s v="Order-284"/>
    <x v="25"/>
    <x v="0"/>
    <x v="0"/>
    <n v="17"/>
    <n v="80"/>
    <n v="1360"/>
    <n v="7.0000000000000007E-2"/>
    <n v="95.2"/>
    <x v="3"/>
  </r>
  <r>
    <s v="Order-285"/>
    <x v="25"/>
    <x v="1"/>
    <x v="4"/>
    <n v="10"/>
    <n v="40"/>
    <n v="400"/>
    <n v="0.03"/>
    <n v="12"/>
    <x v="4"/>
  </r>
  <r>
    <s v="Order-286"/>
    <x v="25"/>
    <x v="1"/>
    <x v="0"/>
    <n v="23"/>
    <n v="40"/>
    <n v="920"/>
    <n v="7.0000000000000007E-2"/>
    <n v="64.400000000000006"/>
    <x v="5"/>
  </r>
  <r>
    <s v="Order-287"/>
    <x v="25"/>
    <x v="3"/>
    <x v="1"/>
    <n v="22"/>
    <n v="16"/>
    <n v="352"/>
    <n v="0.04"/>
    <n v="14.08"/>
    <x v="6"/>
  </r>
  <r>
    <s v="Order-288"/>
    <x v="25"/>
    <x v="0"/>
    <x v="2"/>
    <n v="8"/>
    <n v="80"/>
    <n v="640"/>
    <n v="0.02"/>
    <n v="12.8"/>
    <x v="7"/>
  </r>
  <r>
    <s v="Order-289"/>
    <x v="25"/>
    <x v="3"/>
    <x v="1"/>
    <n v="4"/>
    <n v="16"/>
    <n v="64"/>
    <n v="0.09"/>
    <n v="5.76"/>
    <x v="8"/>
  </r>
  <r>
    <s v="Order-290"/>
    <x v="25"/>
    <x v="1"/>
    <x v="3"/>
    <n v="11"/>
    <n v="40"/>
    <n v="440"/>
    <n v="0.09"/>
    <n v="39.6"/>
    <x v="9"/>
  </r>
  <r>
    <s v="Order-291"/>
    <x v="25"/>
    <x v="2"/>
    <x v="2"/>
    <n v="18"/>
    <n v="230"/>
    <n v="4140"/>
    <n v="0.01"/>
    <n v="41.4"/>
    <x v="10"/>
  </r>
  <r>
    <s v="Order-292"/>
    <x v="26"/>
    <x v="2"/>
    <x v="1"/>
    <n v="11"/>
    <n v="230"/>
    <n v="2530"/>
    <n v="0.1"/>
    <n v="253"/>
    <x v="11"/>
  </r>
  <r>
    <s v="Order-293"/>
    <x v="26"/>
    <x v="2"/>
    <x v="0"/>
    <n v="15"/>
    <n v="230"/>
    <n v="3450"/>
    <n v="0.05"/>
    <n v="172.5"/>
    <x v="0"/>
  </r>
  <r>
    <s v="Order-294"/>
    <x v="26"/>
    <x v="1"/>
    <x v="4"/>
    <n v="7"/>
    <n v="40"/>
    <n v="280"/>
    <n v="0.04"/>
    <n v="11.200000000000001"/>
    <x v="1"/>
  </r>
  <r>
    <s v="Order-295"/>
    <x v="26"/>
    <x v="4"/>
    <x v="2"/>
    <n v="20"/>
    <n v="150"/>
    <n v="3000"/>
    <n v="0.12"/>
    <n v="360"/>
    <x v="2"/>
  </r>
  <r>
    <s v="Order-296"/>
    <x v="26"/>
    <x v="0"/>
    <x v="2"/>
    <n v="5"/>
    <n v="80"/>
    <n v="400"/>
    <n v="0.09"/>
    <n v="36"/>
    <x v="3"/>
  </r>
  <r>
    <s v="Order-297"/>
    <x v="26"/>
    <x v="0"/>
    <x v="3"/>
    <n v="14"/>
    <n v="80"/>
    <n v="1120"/>
    <n v="0.05"/>
    <n v="56"/>
    <x v="4"/>
  </r>
  <r>
    <s v="Order-298"/>
    <x v="26"/>
    <x v="2"/>
    <x v="3"/>
    <n v="7"/>
    <n v="230"/>
    <n v="1610"/>
    <n v="0.06"/>
    <n v="96.6"/>
    <x v="5"/>
  </r>
  <r>
    <s v="Order-299"/>
    <x v="26"/>
    <x v="1"/>
    <x v="3"/>
    <n v="13"/>
    <n v="40"/>
    <n v="520"/>
    <n v="0.06"/>
    <n v="31.2"/>
    <x v="6"/>
  </r>
  <r>
    <s v="Order-300"/>
    <x v="27"/>
    <x v="3"/>
    <x v="1"/>
    <n v="15"/>
    <n v="16"/>
    <n v="240"/>
    <n v="0.02"/>
    <n v="4.8"/>
    <x v="7"/>
  </r>
  <r>
    <s v="Order-301"/>
    <x v="27"/>
    <x v="3"/>
    <x v="3"/>
    <n v="5"/>
    <n v="16"/>
    <n v="80"/>
    <n v="0.09"/>
    <n v="7.1999999999999993"/>
    <x v="8"/>
  </r>
  <r>
    <s v="Order-302"/>
    <x v="27"/>
    <x v="3"/>
    <x v="0"/>
    <n v="22"/>
    <n v="16"/>
    <n v="352"/>
    <n v="0.06"/>
    <n v="21.119999999999997"/>
    <x v="9"/>
  </r>
  <r>
    <s v="Order-303"/>
    <x v="27"/>
    <x v="4"/>
    <x v="2"/>
    <n v="15"/>
    <n v="150"/>
    <n v="2250"/>
    <n v="0.05"/>
    <n v="112.5"/>
    <x v="10"/>
  </r>
  <r>
    <s v="Order-304"/>
    <x v="27"/>
    <x v="2"/>
    <x v="2"/>
    <n v="5"/>
    <n v="230"/>
    <n v="1150"/>
    <n v="0.01"/>
    <n v="11.5"/>
    <x v="11"/>
  </r>
  <r>
    <s v="Order-305"/>
    <x v="27"/>
    <x v="1"/>
    <x v="0"/>
    <n v="11"/>
    <n v="40"/>
    <n v="440"/>
    <n v="0.04"/>
    <n v="17.600000000000001"/>
    <x v="0"/>
  </r>
  <r>
    <s v="Order-306"/>
    <x v="27"/>
    <x v="4"/>
    <x v="1"/>
    <n v="13"/>
    <n v="150"/>
    <n v="1950"/>
    <n v="0.08"/>
    <n v="156"/>
    <x v="1"/>
  </r>
  <r>
    <s v="Order-307"/>
    <x v="27"/>
    <x v="3"/>
    <x v="4"/>
    <n v="13"/>
    <n v="16"/>
    <n v="208"/>
    <n v="7.0000000000000007E-2"/>
    <n v="14.560000000000002"/>
    <x v="2"/>
  </r>
  <r>
    <s v="Order-308"/>
    <x v="27"/>
    <x v="3"/>
    <x v="4"/>
    <n v="3"/>
    <n v="16"/>
    <n v="48"/>
    <n v="0.03"/>
    <n v="1.44"/>
    <x v="3"/>
  </r>
  <r>
    <s v="Order-309"/>
    <x v="28"/>
    <x v="4"/>
    <x v="1"/>
    <n v="2"/>
    <n v="150"/>
    <n v="300"/>
    <n v="0.09"/>
    <n v="27"/>
    <x v="4"/>
  </r>
  <r>
    <s v="Order-310"/>
    <x v="28"/>
    <x v="2"/>
    <x v="2"/>
    <n v="14"/>
    <n v="230"/>
    <n v="3220"/>
    <n v="0.03"/>
    <n v="96.6"/>
    <x v="5"/>
  </r>
  <r>
    <s v="Order-311"/>
    <x v="28"/>
    <x v="1"/>
    <x v="2"/>
    <n v="11"/>
    <n v="40"/>
    <n v="440"/>
    <n v="0.12"/>
    <n v="52.8"/>
    <x v="6"/>
  </r>
  <r>
    <s v="Order-312"/>
    <x v="28"/>
    <x v="3"/>
    <x v="4"/>
    <n v="3"/>
    <n v="16"/>
    <n v="48"/>
    <n v="0.06"/>
    <n v="2.88"/>
    <x v="7"/>
  </r>
  <r>
    <s v="Order-313"/>
    <x v="28"/>
    <x v="1"/>
    <x v="4"/>
    <n v="18"/>
    <n v="40"/>
    <n v="720"/>
    <n v="0.06"/>
    <n v="43.199999999999996"/>
    <x v="8"/>
  </r>
  <r>
    <s v="Order-314"/>
    <x v="28"/>
    <x v="2"/>
    <x v="4"/>
    <n v="7"/>
    <n v="230"/>
    <n v="1610"/>
    <n v="0.05"/>
    <n v="80.5"/>
    <x v="9"/>
  </r>
  <r>
    <s v="Order-315"/>
    <x v="28"/>
    <x v="1"/>
    <x v="4"/>
    <n v="23"/>
    <n v="40"/>
    <n v="920"/>
    <n v="0.05"/>
    <n v="46"/>
    <x v="10"/>
  </r>
  <r>
    <s v="Order-316"/>
    <x v="29"/>
    <x v="2"/>
    <x v="4"/>
    <n v="2"/>
    <n v="230"/>
    <n v="460"/>
    <n v="0.08"/>
    <n v="36.800000000000004"/>
    <x v="11"/>
  </r>
  <r>
    <s v="Order-317"/>
    <x v="29"/>
    <x v="1"/>
    <x v="3"/>
    <n v="18"/>
    <n v="40"/>
    <n v="720"/>
    <n v="0.04"/>
    <n v="28.8"/>
    <x v="0"/>
  </r>
  <r>
    <s v="Order-318"/>
    <x v="29"/>
    <x v="2"/>
    <x v="1"/>
    <n v="7"/>
    <n v="230"/>
    <n v="1610"/>
    <n v="0.05"/>
    <n v="80.5"/>
    <x v="1"/>
  </r>
  <r>
    <s v="Order-319"/>
    <x v="29"/>
    <x v="1"/>
    <x v="4"/>
    <n v="14"/>
    <n v="40"/>
    <n v="560"/>
    <n v="0.11"/>
    <n v="61.6"/>
    <x v="2"/>
  </r>
  <r>
    <s v="Order-320"/>
    <x v="29"/>
    <x v="4"/>
    <x v="1"/>
    <n v="13"/>
    <n v="150"/>
    <n v="1950"/>
    <n v="0.02"/>
    <n v="39"/>
    <x v="3"/>
  </r>
  <r>
    <s v="Order-321"/>
    <x v="29"/>
    <x v="0"/>
    <x v="0"/>
    <n v="12"/>
    <n v="80"/>
    <n v="960"/>
    <n v="0.04"/>
    <n v="38.4"/>
    <x v="4"/>
  </r>
  <r>
    <s v="Order-322"/>
    <x v="29"/>
    <x v="2"/>
    <x v="4"/>
    <n v="20"/>
    <n v="230"/>
    <n v="4600"/>
    <n v="0.09"/>
    <n v="414"/>
    <x v="5"/>
  </r>
  <r>
    <s v="Order-323"/>
    <x v="29"/>
    <x v="1"/>
    <x v="4"/>
    <n v="5"/>
    <n v="40"/>
    <n v="200"/>
    <n v="0.03"/>
    <n v="6"/>
    <x v="6"/>
  </r>
  <r>
    <s v="Order-324"/>
    <x v="29"/>
    <x v="3"/>
    <x v="4"/>
    <n v="2"/>
    <n v="16"/>
    <n v="32"/>
    <n v="0.04"/>
    <n v="1.28"/>
    <x v="7"/>
  </r>
  <r>
    <s v="Order-325"/>
    <x v="0"/>
    <x v="0"/>
    <x v="2"/>
    <n v="10"/>
    <n v="80"/>
    <n v="800"/>
    <n v="0.08"/>
    <n v="64"/>
    <x v="8"/>
  </r>
  <r>
    <s v="Order-326"/>
    <x v="0"/>
    <x v="1"/>
    <x v="3"/>
    <n v="18"/>
    <n v="40"/>
    <n v="720"/>
    <n v="0.06"/>
    <n v="43.199999999999996"/>
    <x v="9"/>
  </r>
  <r>
    <s v="Order-327"/>
    <x v="0"/>
    <x v="2"/>
    <x v="1"/>
    <n v="7"/>
    <n v="230"/>
    <n v="1610"/>
    <n v="0.08"/>
    <n v="128.80000000000001"/>
    <x v="10"/>
  </r>
  <r>
    <s v="Order-328"/>
    <x v="0"/>
    <x v="1"/>
    <x v="3"/>
    <n v="15"/>
    <n v="40"/>
    <n v="600"/>
    <n v="0.03"/>
    <n v="18"/>
    <x v="11"/>
  </r>
  <r>
    <s v="Order-329"/>
    <x v="0"/>
    <x v="3"/>
    <x v="2"/>
    <n v="6"/>
    <n v="16"/>
    <n v="96"/>
    <n v="0.01"/>
    <n v="0.96"/>
    <x v="0"/>
  </r>
  <r>
    <s v="Order-330"/>
    <x v="0"/>
    <x v="4"/>
    <x v="3"/>
    <n v="9"/>
    <n v="150"/>
    <n v="1350"/>
    <n v="0.02"/>
    <n v="27"/>
    <x v="1"/>
  </r>
  <r>
    <s v="Order-331"/>
    <x v="0"/>
    <x v="3"/>
    <x v="4"/>
    <n v="15"/>
    <n v="16"/>
    <n v="240"/>
    <n v="0.01"/>
    <n v="2.4"/>
    <x v="2"/>
  </r>
  <r>
    <s v="Order-332"/>
    <x v="0"/>
    <x v="0"/>
    <x v="4"/>
    <n v="22"/>
    <n v="80"/>
    <n v="1760"/>
    <n v="0.11"/>
    <n v="193.6"/>
    <x v="3"/>
  </r>
  <r>
    <s v="Order-333"/>
    <x v="0"/>
    <x v="4"/>
    <x v="1"/>
    <n v="13"/>
    <n v="150"/>
    <n v="1950"/>
    <n v="0.02"/>
    <n v="39"/>
    <x v="4"/>
  </r>
  <r>
    <s v="Order-334"/>
    <x v="1"/>
    <x v="3"/>
    <x v="2"/>
    <n v="12"/>
    <n v="16"/>
    <n v="192"/>
    <n v="0.03"/>
    <n v="5.76"/>
    <x v="5"/>
  </r>
  <r>
    <s v="Order-335"/>
    <x v="1"/>
    <x v="1"/>
    <x v="3"/>
    <n v="4"/>
    <n v="40"/>
    <n v="160"/>
    <n v="0.05"/>
    <n v="8"/>
    <x v="6"/>
  </r>
  <r>
    <s v="Order-336"/>
    <x v="1"/>
    <x v="2"/>
    <x v="1"/>
    <n v="19"/>
    <n v="230"/>
    <n v="4370"/>
    <n v="0.11"/>
    <n v="480.7"/>
    <x v="7"/>
  </r>
  <r>
    <s v="Order-337"/>
    <x v="1"/>
    <x v="1"/>
    <x v="1"/>
    <n v="4"/>
    <n v="40"/>
    <n v="160"/>
    <n v="0.06"/>
    <n v="9.6"/>
    <x v="8"/>
  </r>
  <r>
    <s v="Order-338"/>
    <x v="1"/>
    <x v="3"/>
    <x v="2"/>
    <n v="6"/>
    <n v="16"/>
    <n v="96"/>
    <n v="7.0000000000000007E-2"/>
    <n v="6.7200000000000006"/>
    <x v="9"/>
  </r>
  <r>
    <s v="Order-339"/>
    <x v="1"/>
    <x v="2"/>
    <x v="2"/>
    <n v="15"/>
    <n v="230"/>
    <n v="3450"/>
    <n v="0.11"/>
    <n v="379.5"/>
    <x v="10"/>
  </r>
  <r>
    <s v="Order-340"/>
    <x v="1"/>
    <x v="0"/>
    <x v="2"/>
    <n v="16"/>
    <n v="80"/>
    <n v="1280"/>
    <n v="0.04"/>
    <n v="51.2"/>
    <x v="11"/>
  </r>
  <r>
    <s v="Order-341"/>
    <x v="1"/>
    <x v="1"/>
    <x v="0"/>
    <n v="7"/>
    <n v="40"/>
    <n v="280"/>
    <n v="0.1"/>
    <n v="28"/>
    <x v="0"/>
  </r>
  <r>
    <s v="Order-342"/>
    <x v="1"/>
    <x v="1"/>
    <x v="2"/>
    <n v="11"/>
    <n v="40"/>
    <n v="440"/>
    <n v="0.05"/>
    <n v="22"/>
    <x v="1"/>
  </r>
  <r>
    <s v="Order-343"/>
    <x v="1"/>
    <x v="0"/>
    <x v="4"/>
    <n v="9"/>
    <n v="80"/>
    <n v="720"/>
    <n v="0.06"/>
    <n v="43.199999999999996"/>
    <x v="2"/>
  </r>
  <r>
    <s v="Order-344"/>
    <x v="1"/>
    <x v="0"/>
    <x v="1"/>
    <n v="21"/>
    <n v="80"/>
    <n v="1680"/>
    <n v="0.04"/>
    <n v="67.2"/>
    <x v="3"/>
  </r>
  <r>
    <s v="Order-345"/>
    <x v="1"/>
    <x v="1"/>
    <x v="2"/>
    <n v="2"/>
    <n v="40"/>
    <n v="80"/>
    <n v="0.03"/>
    <n v="2.4"/>
    <x v="4"/>
  </r>
  <r>
    <s v="Order-346"/>
    <x v="2"/>
    <x v="3"/>
    <x v="2"/>
    <n v="17"/>
    <n v="16"/>
    <n v="272"/>
    <n v="0.05"/>
    <n v="13.600000000000001"/>
    <x v="5"/>
  </r>
  <r>
    <s v="Order-347"/>
    <x v="2"/>
    <x v="1"/>
    <x v="0"/>
    <n v="18"/>
    <n v="40"/>
    <n v="720"/>
    <n v="0.06"/>
    <n v="43.199999999999996"/>
    <x v="6"/>
  </r>
  <r>
    <s v="Order-348"/>
    <x v="2"/>
    <x v="1"/>
    <x v="0"/>
    <n v="9"/>
    <n v="40"/>
    <n v="360"/>
    <n v="0.01"/>
    <n v="3.6"/>
    <x v="7"/>
  </r>
  <r>
    <s v="Order-349"/>
    <x v="2"/>
    <x v="1"/>
    <x v="1"/>
    <n v="7"/>
    <n v="40"/>
    <n v="280"/>
    <n v="0.01"/>
    <n v="2.8000000000000003"/>
    <x v="8"/>
  </r>
  <r>
    <s v="Order-350"/>
    <x v="2"/>
    <x v="2"/>
    <x v="2"/>
    <n v="12"/>
    <n v="230"/>
    <n v="2760"/>
    <n v="0.06"/>
    <n v="165.6"/>
    <x v="9"/>
  </r>
  <r>
    <s v="Order-351"/>
    <x v="2"/>
    <x v="3"/>
    <x v="1"/>
    <n v="22"/>
    <n v="16"/>
    <n v="352"/>
    <n v="0.04"/>
    <n v="14.08"/>
    <x v="0"/>
  </r>
  <r>
    <s v="Order-352"/>
    <x v="3"/>
    <x v="4"/>
    <x v="0"/>
    <n v="5"/>
    <n v="150"/>
    <n v="750"/>
    <n v="0.11"/>
    <n v="82.5"/>
    <x v="1"/>
  </r>
  <r>
    <s v="Order-353"/>
    <x v="3"/>
    <x v="0"/>
    <x v="1"/>
    <n v="14"/>
    <n v="80"/>
    <n v="1120"/>
    <n v="0.11"/>
    <n v="123.2"/>
    <x v="2"/>
  </r>
  <r>
    <s v="Order-354"/>
    <x v="3"/>
    <x v="3"/>
    <x v="2"/>
    <n v="8"/>
    <n v="16"/>
    <n v="128"/>
    <n v="0.03"/>
    <n v="3.84"/>
    <x v="3"/>
  </r>
  <r>
    <s v="Order-355"/>
    <x v="3"/>
    <x v="2"/>
    <x v="2"/>
    <n v="6"/>
    <n v="230"/>
    <n v="1380"/>
    <n v="0.05"/>
    <n v="69"/>
    <x v="4"/>
  </r>
  <r>
    <s v="Order-356"/>
    <x v="3"/>
    <x v="3"/>
    <x v="3"/>
    <n v="7"/>
    <n v="16"/>
    <n v="112"/>
    <n v="0.08"/>
    <n v="8.9600000000000009"/>
    <x v="5"/>
  </r>
  <r>
    <s v="Order-357"/>
    <x v="3"/>
    <x v="0"/>
    <x v="1"/>
    <n v="16"/>
    <n v="80"/>
    <n v="1280"/>
    <n v="0.04"/>
    <n v="51.2"/>
    <x v="6"/>
  </r>
  <r>
    <s v="Order-358"/>
    <x v="3"/>
    <x v="4"/>
    <x v="0"/>
    <n v="17"/>
    <n v="150"/>
    <n v="2550"/>
    <n v="0.12"/>
    <n v="306"/>
    <x v="7"/>
  </r>
  <r>
    <s v="Order-359"/>
    <x v="3"/>
    <x v="3"/>
    <x v="1"/>
    <n v="7"/>
    <n v="16"/>
    <n v="112"/>
    <n v="0.08"/>
    <n v="8.9600000000000009"/>
    <x v="8"/>
  </r>
  <r>
    <s v="Order-360"/>
    <x v="4"/>
    <x v="3"/>
    <x v="0"/>
    <n v="21"/>
    <n v="16"/>
    <n v="336"/>
    <n v="0.09"/>
    <n v="30.24"/>
    <x v="9"/>
  </r>
  <r>
    <s v="Order-361"/>
    <x v="4"/>
    <x v="3"/>
    <x v="2"/>
    <n v="23"/>
    <n v="16"/>
    <n v="368"/>
    <n v="0.11"/>
    <n v="40.479999999999997"/>
    <x v="10"/>
  </r>
  <r>
    <s v="Order-362"/>
    <x v="4"/>
    <x v="4"/>
    <x v="2"/>
    <n v="2"/>
    <n v="150"/>
    <n v="300"/>
    <n v="0.02"/>
    <n v="6"/>
    <x v="11"/>
  </r>
  <r>
    <s v="Order-363"/>
    <x v="4"/>
    <x v="4"/>
    <x v="0"/>
    <n v="22"/>
    <n v="150"/>
    <n v="3300"/>
    <n v="7.0000000000000007E-2"/>
    <n v="231.00000000000003"/>
    <x v="0"/>
  </r>
  <r>
    <s v="Order-364"/>
    <x v="4"/>
    <x v="1"/>
    <x v="3"/>
    <n v="22"/>
    <n v="40"/>
    <n v="880"/>
    <n v="0.01"/>
    <n v="8.8000000000000007"/>
    <x v="1"/>
  </r>
  <r>
    <s v="Order-365"/>
    <x v="4"/>
    <x v="0"/>
    <x v="1"/>
    <n v="10"/>
    <n v="80"/>
    <n v="800"/>
    <n v="0.11"/>
    <n v="88"/>
    <x v="2"/>
  </r>
  <r>
    <s v="Order-366"/>
    <x v="4"/>
    <x v="0"/>
    <x v="4"/>
    <n v="13"/>
    <n v="80"/>
    <n v="1040"/>
    <n v="0.05"/>
    <n v="52"/>
    <x v="3"/>
  </r>
  <r>
    <s v="Order-367"/>
    <x v="4"/>
    <x v="2"/>
    <x v="3"/>
    <n v="11"/>
    <n v="230"/>
    <n v="2530"/>
    <n v="0.12"/>
    <n v="303.59999999999997"/>
    <x v="4"/>
  </r>
  <r>
    <s v="Order-368"/>
    <x v="4"/>
    <x v="2"/>
    <x v="0"/>
    <n v="9"/>
    <n v="230"/>
    <n v="2070"/>
    <n v="7.0000000000000007E-2"/>
    <n v="144.9"/>
    <x v="5"/>
  </r>
  <r>
    <s v="Order-369"/>
    <x v="4"/>
    <x v="2"/>
    <x v="3"/>
    <n v="16"/>
    <n v="230"/>
    <n v="3680"/>
    <n v="0.11"/>
    <n v="404.8"/>
    <x v="6"/>
  </r>
  <r>
    <s v="Order-370"/>
    <x v="4"/>
    <x v="2"/>
    <x v="3"/>
    <n v="18"/>
    <n v="230"/>
    <n v="4140"/>
    <n v="0.01"/>
    <n v="41.4"/>
    <x v="7"/>
  </r>
  <r>
    <s v="Order-371"/>
    <x v="4"/>
    <x v="3"/>
    <x v="1"/>
    <n v="15"/>
    <n v="16"/>
    <n v="240"/>
    <n v="0.02"/>
    <n v="4.8"/>
    <x v="8"/>
  </r>
  <r>
    <s v="Order-372"/>
    <x v="4"/>
    <x v="1"/>
    <x v="4"/>
    <n v="18"/>
    <n v="40"/>
    <n v="720"/>
    <n v="0.06"/>
    <n v="43.199999999999996"/>
    <x v="9"/>
  </r>
  <r>
    <s v="Order-373"/>
    <x v="4"/>
    <x v="1"/>
    <x v="3"/>
    <n v="18"/>
    <n v="40"/>
    <n v="720"/>
    <n v="0.04"/>
    <n v="28.8"/>
    <x v="10"/>
  </r>
  <r>
    <s v="Order-374"/>
    <x v="4"/>
    <x v="3"/>
    <x v="3"/>
    <n v="22"/>
    <n v="16"/>
    <n v="352"/>
    <n v="0.03"/>
    <n v="10.559999999999999"/>
    <x v="11"/>
  </r>
  <r>
    <s v="Order-375"/>
    <x v="4"/>
    <x v="3"/>
    <x v="2"/>
    <n v="12"/>
    <n v="16"/>
    <n v="192"/>
    <n v="0.11"/>
    <n v="21.12"/>
    <x v="0"/>
  </r>
  <r>
    <s v="Order-376"/>
    <x v="5"/>
    <x v="0"/>
    <x v="0"/>
    <n v="20"/>
    <n v="80"/>
    <n v="1600"/>
    <n v="0.01"/>
    <n v="16"/>
    <x v="1"/>
  </r>
  <r>
    <s v="Order-377"/>
    <x v="5"/>
    <x v="2"/>
    <x v="2"/>
    <n v="10"/>
    <n v="230"/>
    <n v="2300"/>
    <n v="0.02"/>
    <n v="46"/>
    <x v="2"/>
  </r>
  <r>
    <s v="Order-378"/>
    <x v="5"/>
    <x v="2"/>
    <x v="1"/>
    <n v="9"/>
    <n v="230"/>
    <n v="2070"/>
    <n v="0.03"/>
    <n v="62.099999999999994"/>
    <x v="3"/>
  </r>
  <r>
    <s v="Order-379"/>
    <x v="5"/>
    <x v="0"/>
    <x v="1"/>
    <n v="17"/>
    <n v="80"/>
    <n v="1360"/>
    <n v="0.03"/>
    <n v="40.799999999999997"/>
    <x v="4"/>
  </r>
  <r>
    <s v="Order-380"/>
    <x v="5"/>
    <x v="1"/>
    <x v="4"/>
    <n v="4"/>
    <n v="40"/>
    <n v="160"/>
    <n v="0.09"/>
    <n v="14.399999999999999"/>
    <x v="5"/>
  </r>
  <r>
    <s v="Order-381"/>
    <x v="5"/>
    <x v="4"/>
    <x v="1"/>
    <n v="16"/>
    <n v="150"/>
    <n v="2400"/>
    <n v="0.03"/>
    <n v="72"/>
    <x v="6"/>
  </r>
  <r>
    <s v="Order-382"/>
    <x v="5"/>
    <x v="0"/>
    <x v="2"/>
    <n v="8"/>
    <n v="80"/>
    <n v="640"/>
    <n v="0.02"/>
    <n v="12.8"/>
    <x v="7"/>
  </r>
  <r>
    <s v="Order-383"/>
    <x v="5"/>
    <x v="1"/>
    <x v="3"/>
    <n v="23"/>
    <n v="40"/>
    <n v="920"/>
    <n v="0.06"/>
    <n v="55.199999999999996"/>
    <x v="8"/>
  </r>
  <r>
    <s v="Order-384"/>
    <x v="6"/>
    <x v="4"/>
    <x v="3"/>
    <n v="20"/>
    <n v="150"/>
    <n v="3000"/>
    <n v="0.1"/>
    <n v="300"/>
    <x v="9"/>
  </r>
  <r>
    <s v="Order-385"/>
    <x v="6"/>
    <x v="2"/>
    <x v="4"/>
    <n v="22"/>
    <n v="230"/>
    <n v="5060"/>
    <n v="0.1"/>
    <n v="506"/>
    <x v="10"/>
  </r>
  <r>
    <s v="Order-386"/>
    <x v="6"/>
    <x v="2"/>
    <x v="1"/>
    <n v="6"/>
    <n v="230"/>
    <n v="1380"/>
    <n v="0.1"/>
    <n v="138"/>
    <x v="11"/>
  </r>
  <r>
    <s v="Order-387"/>
    <x v="6"/>
    <x v="0"/>
    <x v="3"/>
    <n v="10"/>
    <n v="80"/>
    <n v="800"/>
    <n v="0.1"/>
    <n v="80"/>
    <x v="0"/>
  </r>
  <r>
    <s v="Order-388"/>
    <x v="6"/>
    <x v="2"/>
    <x v="4"/>
    <n v="21"/>
    <n v="230"/>
    <n v="4830"/>
    <n v="0.05"/>
    <n v="241.5"/>
    <x v="1"/>
  </r>
  <r>
    <s v="Order-389"/>
    <x v="6"/>
    <x v="2"/>
    <x v="0"/>
    <n v="20"/>
    <n v="230"/>
    <n v="4600"/>
    <n v="0.04"/>
    <n v="184"/>
    <x v="2"/>
  </r>
  <r>
    <s v="Order-390"/>
    <x v="6"/>
    <x v="0"/>
    <x v="2"/>
    <n v="20"/>
    <n v="80"/>
    <n v="1600"/>
    <n v="7.0000000000000007E-2"/>
    <n v="112.00000000000001"/>
    <x v="3"/>
  </r>
  <r>
    <s v="Order-391"/>
    <x v="6"/>
    <x v="0"/>
    <x v="2"/>
    <n v="7"/>
    <n v="80"/>
    <n v="560"/>
    <n v="0.05"/>
    <n v="28"/>
    <x v="4"/>
  </r>
  <r>
    <s v="Order-392"/>
    <x v="6"/>
    <x v="0"/>
    <x v="0"/>
    <n v="8"/>
    <n v="80"/>
    <n v="640"/>
    <n v="0.09"/>
    <n v="57.599999999999994"/>
    <x v="5"/>
  </r>
  <r>
    <s v="Order-393"/>
    <x v="6"/>
    <x v="0"/>
    <x v="1"/>
    <n v="3"/>
    <n v="80"/>
    <n v="240"/>
    <n v="0.02"/>
    <n v="4.8"/>
    <x v="6"/>
  </r>
  <r>
    <s v="Order-394"/>
    <x v="6"/>
    <x v="0"/>
    <x v="3"/>
    <n v="8"/>
    <n v="80"/>
    <n v="640"/>
    <n v="0.06"/>
    <n v="38.4"/>
    <x v="7"/>
  </r>
  <r>
    <s v="Order-395"/>
    <x v="6"/>
    <x v="4"/>
    <x v="4"/>
    <n v="13"/>
    <n v="150"/>
    <n v="1950"/>
    <n v="0.11"/>
    <n v="214.5"/>
    <x v="8"/>
  </r>
  <r>
    <s v="Order-396"/>
    <x v="6"/>
    <x v="0"/>
    <x v="3"/>
    <n v="15"/>
    <n v="80"/>
    <n v="1200"/>
    <n v="0.08"/>
    <n v="96"/>
    <x v="9"/>
  </r>
  <r>
    <s v="Order-397"/>
    <x v="6"/>
    <x v="4"/>
    <x v="4"/>
    <n v="7"/>
    <n v="150"/>
    <n v="1050"/>
    <n v="0.02"/>
    <n v="21"/>
    <x v="10"/>
  </r>
  <r>
    <s v="Order-398"/>
    <x v="6"/>
    <x v="1"/>
    <x v="2"/>
    <n v="6"/>
    <n v="40"/>
    <n v="240"/>
    <n v="0.06"/>
    <n v="14.399999999999999"/>
    <x v="11"/>
  </r>
  <r>
    <s v="Order-399"/>
    <x v="6"/>
    <x v="0"/>
    <x v="3"/>
    <n v="23"/>
    <n v="80"/>
    <n v="1840"/>
    <n v="0.11"/>
    <n v="202.4"/>
    <x v="0"/>
  </r>
  <r>
    <s v="Order-400"/>
    <x v="6"/>
    <x v="2"/>
    <x v="2"/>
    <n v="18"/>
    <n v="230"/>
    <n v="4140"/>
    <n v="0.01"/>
    <n v="41.4"/>
    <x v="1"/>
  </r>
  <r>
    <s v="Order-401"/>
    <x v="7"/>
    <x v="0"/>
    <x v="4"/>
    <n v="21"/>
    <n v="80"/>
    <n v="1680"/>
    <n v="0.09"/>
    <n v="151.19999999999999"/>
    <x v="2"/>
  </r>
  <r>
    <s v="Order-402"/>
    <x v="7"/>
    <x v="1"/>
    <x v="2"/>
    <n v="13"/>
    <n v="40"/>
    <n v="520"/>
    <n v="0.02"/>
    <n v="10.4"/>
    <x v="3"/>
  </r>
  <r>
    <s v="Order-403"/>
    <x v="7"/>
    <x v="0"/>
    <x v="2"/>
    <n v="23"/>
    <n v="80"/>
    <n v="1840"/>
    <n v="0.05"/>
    <n v="92"/>
    <x v="4"/>
  </r>
  <r>
    <s v="Order-404"/>
    <x v="7"/>
    <x v="4"/>
    <x v="3"/>
    <n v="15"/>
    <n v="150"/>
    <n v="2250"/>
    <n v="0.05"/>
    <n v="112.5"/>
    <x v="5"/>
  </r>
  <r>
    <s v="Order-405"/>
    <x v="7"/>
    <x v="1"/>
    <x v="0"/>
    <n v="5"/>
    <n v="40"/>
    <n v="200"/>
    <n v="0.09"/>
    <n v="18"/>
    <x v="6"/>
  </r>
  <r>
    <s v="Order-406"/>
    <x v="7"/>
    <x v="3"/>
    <x v="3"/>
    <n v="10"/>
    <n v="16"/>
    <n v="160"/>
    <n v="0.01"/>
    <n v="1.6"/>
    <x v="7"/>
  </r>
  <r>
    <s v="Order-407"/>
    <x v="7"/>
    <x v="2"/>
    <x v="2"/>
    <n v="2"/>
    <n v="230"/>
    <n v="460"/>
    <n v="0.09"/>
    <n v="41.4"/>
    <x v="8"/>
  </r>
  <r>
    <s v="Order-408"/>
    <x v="7"/>
    <x v="0"/>
    <x v="3"/>
    <n v="7"/>
    <n v="80"/>
    <n v="560"/>
    <n v="0.02"/>
    <n v="11.200000000000001"/>
    <x v="9"/>
  </r>
  <r>
    <s v="Order-409"/>
    <x v="7"/>
    <x v="4"/>
    <x v="3"/>
    <n v="22"/>
    <n v="150"/>
    <n v="3300"/>
    <n v="0.05"/>
    <n v="165"/>
    <x v="10"/>
  </r>
  <r>
    <s v="Order-410"/>
    <x v="7"/>
    <x v="1"/>
    <x v="4"/>
    <n v="17"/>
    <n v="40"/>
    <n v="680"/>
    <n v="0.02"/>
    <n v="13.6"/>
    <x v="11"/>
  </r>
  <r>
    <s v="Order-411"/>
    <x v="7"/>
    <x v="3"/>
    <x v="0"/>
    <n v="22"/>
    <n v="16"/>
    <n v="352"/>
    <n v="0.06"/>
    <n v="21.119999999999997"/>
    <x v="0"/>
  </r>
  <r>
    <s v="Order-412"/>
    <x v="7"/>
    <x v="3"/>
    <x v="4"/>
    <n v="3"/>
    <n v="16"/>
    <n v="48"/>
    <n v="0.03"/>
    <n v="1.44"/>
    <x v="1"/>
  </r>
  <r>
    <s v="Order-413"/>
    <x v="7"/>
    <x v="2"/>
    <x v="4"/>
    <n v="2"/>
    <n v="230"/>
    <n v="460"/>
    <n v="0.08"/>
    <n v="36.800000000000004"/>
    <x v="2"/>
  </r>
  <r>
    <s v="Order-414"/>
    <x v="7"/>
    <x v="3"/>
    <x v="0"/>
    <n v="21"/>
    <n v="16"/>
    <n v="336"/>
    <n v="0.09"/>
    <n v="30.24"/>
    <x v="3"/>
  </r>
  <r>
    <s v="Order-415"/>
    <x v="7"/>
    <x v="0"/>
    <x v="3"/>
    <n v="7"/>
    <n v="80"/>
    <n v="560"/>
    <n v="7.0000000000000007E-2"/>
    <n v="39.200000000000003"/>
    <x v="4"/>
  </r>
  <r>
    <s v="Order-416"/>
    <x v="7"/>
    <x v="4"/>
    <x v="1"/>
    <n v="23"/>
    <n v="150"/>
    <n v="3450"/>
    <n v="0.11"/>
    <n v="379.5"/>
    <x v="5"/>
  </r>
  <r>
    <s v="Order-417"/>
    <x v="8"/>
    <x v="4"/>
    <x v="0"/>
    <n v="11"/>
    <n v="150"/>
    <n v="1650"/>
    <n v="0.05"/>
    <n v="82.5"/>
    <x v="6"/>
  </r>
  <r>
    <s v="Order-418"/>
    <x v="8"/>
    <x v="0"/>
    <x v="4"/>
    <n v="16"/>
    <n v="80"/>
    <n v="1280"/>
    <n v="0.05"/>
    <n v="64"/>
    <x v="7"/>
  </r>
  <r>
    <s v="Order-419"/>
    <x v="8"/>
    <x v="2"/>
    <x v="2"/>
    <n v="5"/>
    <n v="230"/>
    <n v="1150"/>
    <n v="0.1"/>
    <n v="115"/>
    <x v="8"/>
  </r>
  <r>
    <s v="Order-420"/>
    <x v="8"/>
    <x v="3"/>
    <x v="0"/>
    <n v="22"/>
    <n v="16"/>
    <n v="352"/>
    <n v="0.01"/>
    <n v="3.52"/>
    <x v="9"/>
  </r>
  <r>
    <s v="Order-421"/>
    <x v="8"/>
    <x v="1"/>
    <x v="4"/>
    <n v="7"/>
    <n v="40"/>
    <n v="280"/>
    <n v="0.12"/>
    <n v="33.6"/>
    <x v="0"/>
  </r>
  <r>
    <s v="Order-422"/>
    <x v="8"/>
    <x v="0"/>
    <x v="1"/>
    <n v="2"/>
    <n v="80"/>
    <n v="160"/>
    <n v="0.04"/>
    <n v="6.4"/>
    <x v="1"/>
  </r>
  <r>
    <s v="Order-423"/>
    <x v="8"/>
    <x v="1"/>
    <x v="3"/>
    <n v="6"/>
    <n v="40"/>
    <n v="240"/>
    <n v="7.0000000000000007E-2"/>
    <n v="16.8"/>
    <x v="2"/>
  </r>
  <r>
    <s v="Order-424"/>
    <x v="8"/>
    <x v="0"/>
    <x v="2"/>
    <n v="6"/>
    <n v="80"/>
    <n v="480"/>
    <n v="0.01"/>
    <n v="4.8"/>
    <x v="3"/>
  </r>
  <r>
    <s v="Order-425"/>
    <x v="8"/>
    <x v="3"/>
    <x v="1"/>
    <n v="22"/>
    <n v="16"/>
    <n v="352"/>
    <n v="0.01"/>
    <n v="3.52"/>
    <x v="4"/>
  </r>
  <r>
    <s v="Order-426"/>
    <x v="8"/>
    <x v="2"/>
    <x v="3"/>
    <n v="7"/>
    <n v="230"/>
    <n v="1610"/>
    <n v="0.06"/>
    <n v="96.6"/>
    <x v="5"/>
  </r>
  <r>
    <s v="Order-427"/>
    <x v="9"/>
    <x v="3"/>
    <x v="3"/>
    <n v="22"/>
    <n v="16"/>
    <n v="352"/>
    <n v="0.03"/>
    <n v="10.559999999999999"/>
    <x v="6"/>
  </r>
  <r>
    <s v="Order-428"/>
    <x v="9"/>
    <x v="1"/>
    <x v="4"/>
    <n v="20"/>
    <n v="40"/>
    <n v="800"/>
    <n v="0.05"/>
    <n v="40"/>
    <x v="7"/>
  </r>
  <r>
    <s v="Order-429"/>
    <x v="9"/>
    <x v="1"/>
    <x v="1"/>
    <n v="19"/>
    <n v="40"/>
    <n v="760"/>
    <n v="0.1"/>
    <n v="76"/>
    <x v="8"/>
  </r>
  <r>
    <s v="Order-430"/>
    <x v="9"/>
    <x v="3"/>
    <x v="0"/>
    <n v="18"/>
    <n v="16"/>
    <n v="288"/>
    <n v="0.05"/>
    <n v="14.4"/>
    <x v="9"/>
  </r>
  <r>
    <s v="Order-431"/>
    <x v="9"/>
    <x v="1"/>
    <x v="2"/>
    <n v="2"/>
    <n v="40"/>
    <n v="80"/>
    <n v="0.02"/>
    <n v="1.6"/>
    <x v="10"/>
  </r>
  <r>
    <s v="Order-432"/>
    <x v="9"/>
    <x v="1"/>
    <x v="3"/>
    <n v="7"/>
    <n v="40"/>
    <n v="280"/>
    <n v="7.0000000000000007E-2"/>
    <n v="19.600000000000001"/>
    <x v="11"/>
  </r>
  <r>
    <s v="Order-433"/>
    <x v="9"/>
    <x v="4"/>
    <x v="2"/>
    <n v="11"/>
    <n v="150"/>
    <n v="1650"/>
    <n v="0.05"/>
    <n v="82.5"/>
    <x v="0"/>
  </r>
  <r>
    <s v="Order-434"/>
    <x v="9"/>
    <x v="0"/>
    <x v="1"/>
    <n v="14"/>
    <n v="80"/>
    <n v="1120"/>
    <n v="0.11"/>
    <n v="123.2"/>
    <x v="1"/>
  </r>
  <r>
    <s v="Order-435"/>
    <x v="9"/>
    <x v="1"/>
    <x v="4"/>
    <n v="7"/>
    <n v="40"/>
    <n v="280"/>
    <n v="0.04"/>
    <n v="11.200000000000001"/>
    <x v="2"/>
  </r>
  <r>
    <s v="Order-436"/>
    <x v="9"/>
    <x v="0"/>
    <x v="3"/>
    <n v="14"/>
    <n v="80"/>
    <n v="1120"/>
    <n v="0.05"/>
    <n v="56"/>
    <x v="3"/>
  </r>
  <r>
    <s v="Order-437"/>
    <x v="10"/>
    <x v="3"/>
    <x v="2"/>
    <n v="12"/>
    <n v="16"/>
    <n v="192"/>
    <n v="0.11"/>
    <n v="21.12"/>
    <x v="4"/>
  </r>
  <r>
    <s v="Order-438"/>
    <x v="10"/>
    <x v="1"/>
    <x v="4"/>
    <n v="11"/>
    <n v="40"/>
    <n v="440"/>
    <n v="0.05"/>
    <n v="22"/>
    <x v="5"/>
  </r>
  <r>
    <s v="Order-439"/>
    <x v="10"/>
    <x v="3"/>
    <x v="2"/>
    <n v="14"/>
    <n v="16"/>
    <n v="224"/>
    <n v="0.01"/>
    <n v="2.2400000000000002"/>
    <x v="6"/>
  </r>
  <r>
    <s v="Order-440"/>
    <x v="10"/>
    <x v="2"/>
    <x v="3"/>
    <n v="2"/>
    <n v="230"/>
    <n v="460"/>
    <n v="0.08"/>
    <n v="36.800000000000004"/>
    <x v="7"/>
  </r>
  <r>
    <s v="Order-441"/>
    <x v="10"/>
    <x v="3"/>
    <x v="0"/>
    <n v="20"/>
    <n v="16"/>
    <n v="320"/>
    <n v="0.11"/>
    <n v="35.200000000000003"/>
    <x v="8"/>
  </r>
  <r>
    <s v="Order-442"/>
    <x v="10"/>
    <x v="3"/>
    <x v="2"/>
    <n v="6"/>
    <n v="16"/>
    <n v="96"/>
    <n v="0.06"/>
    <n v="5.76"/>
    <x v="9"/>
  </r>
  <r>
    <s v="Order-443"/>
    <x v="10"/>
    <x v="0"/>
    <x v="3"/>
    <n v="17"/>
    <n v="80"/>
    <n v="1360"/>
    <n v="0.05"/>
    <n v="68"/>
    <x v="10"/>
  </r>
  <r>
    <s v="Order-444"/>
    <x v="10"/>
    <x v="1"/>
    <x v="0"/>
    <n v="2"/>
    <n v="40"/>
    <n v="80"/>
    <n v="0.12"/>
    <n v="9.6"/>
    <x v="11"/>
  </r>
  <r>
    <s v="Order-445"/>
    <x v="10"/>
    <x v="3"/>
    <x v="0"/>
    <n v="7"/>
    <n v="16"/>
    <n v="112"/>
    <n v="0.12"/>
    <n v="13.44"/>
    <x v="0"/>
  </r>
  <r>
    <s v="Order-446"/>
    <x v="10"/>
    <x v="4"/>
    <x v="0"/>
    <n v="7"/>
    <n v="150"/>
    <n v="1050"/>
    <n v="0.02"/>
    <n v="21"/>
    <x v="1"/>
  </r>
  <r>
    <s v="Order-447"/>
    <x v="10"/>
    <x v="0"/>
    <x v="0"/>
    <n v="20"/>
    <n v="80"/>
    <n v="1600"/>
    <n v="0.01"/>
    <n v="16"/>
    <x v="2"/>
  </r>
  <r>
    <s v="Order-448"/>
    <x v="10"/>
    <x v="0"/>
    <x v="3"/>
    <n v="11"/>
    <n v="80"/>
    <n v="880"/>
    <n v="0.01"/>
    <n v="8.8000000000000007"/>
    <x v="3"/>
  </r>
  <r>
    <s v="Order-449"/>
    <x v="10"/>
    <x v="0"/>
    <x v="2"/>
    <n v="10"/>
    <n v="80"/>
    <n v="800"/>
    <n v="0.08"/>
    <n v="64"/>
    <x v="4"/>
  </r>
  <r>
    <s v="Order-450"/>
    <x v="11"/>
    <x v="0"/>
    <x v="1"/>
    <n v="5"/>
    <n v="80"/>
    <n v="400"/>
    <n v="0.04"/>
    <n v="16"/>
    <x v="5"/>
  </r>
  <r>
    <s v="Order-451"/>
    <x v="11"/>
    <x v="0"/>
    <x v="3"/>
    <n v="4"/>
    <n v="80"/>
    <n v="320"/>
    <n v="0.11"/>
    <n v="35.200000000000003"/>
    <x v="6"/>
  </r>
  <r>
    <s v="Order-452"/>
    <x v="11"/>
    <x v="3"/>
    <x v="2"/>
    <n v="3"/>
    <n v="16"/>
    <n v="48"/>
    <n v="0.05"/>
    <n v="2.4000000000000004"/>
    <x v="7"/>
  </r>
  <r>
    <s v="Order-453"/>
    <x v="11"/>
    <x v="0"/>
    <x v="0"/>
    <n v="9"/>
    <n v="80"/>
    <n v="720"/>
    <n v="0.04"/>
    <n v="28.8"/>
    <x v="8"/>
  </r>
  <r>
    <s v="Order-454"/>
    <x v="11"/>
    <x v="0"/>
    <x v="4"/>
    <n v="16"/>
    <n v="80"/>
    <n v="1280"/>
    <n v="0.09"/>
    <n v="115.19999999999999"/>
    <x v="9"/>
  </r>
  <r>
    <s v="Order-455"/>
    <x v="12"/>
    <x v="3"/>
    <x v="1"/>
    <n v="7"/>
    <n v="16"/>
    <n v="112"/>
    <n v="0.08"/>
    <n v="8.9600000000000009"/>
    <x v="10"/>
  </r>
  <r>
    <s v="Order-456"/>
    <x v="12"/>
    <x v="4"/>
    <x v="1"/>
    <n v="16"/>
    <n v="150"/>
    <n v="2400"/>
    <n v="0.05"/>
    <n v="120"/>
    <x v="11"/>
  </r>
  <r>
    <s v="Order-457"/>
    <x v="12"/>
    <x v="3"/>
    <x v="3"/>
    <n v="10"/>
    <n v="16"/>
    <n v="160"/>
    <n v="0.04"/>
    <n v="6.4"/>
    <x v="0"/>
  </r>
  <r>
    <s v="Order-458"/>
    <x v="12"/>
    <x v="1"/>
    <x v="1"/>
    <n v="4"/>
    <n v="40"/>
    <n v="160"/>
    <n v="0.03"/>
    <n v="4.8"/>
    <x v="1"/>
  </r>
  <r>
    <s v="Order-459"/>
    <x v="12"/>
    <x v="1"/>
    <x v="1"/>
    <n v="15"/>
    <n v="40"/>
    <n v="600"/>
    <n v="0.02"/>
    <n v="12"/>
    <x v="2"/>
  </r>
  <r>
    <s v="Order-460"/>
    <x v="12"/>
    <x v="0"/>
    <x v="2"/>
    <n v="6"/>
    <n v="80"/>
    <n v="480"/>
    <n v="0.09"/>
    <n v="43.199999999999996"/>
    <x v="3"/>
  </r>
  <r>
    <s v="Order-461"/>
    <x v="12"/>
    <x v="4"/>
    <x v="0"/>
    <n v="20"/>
    <n v="150"/>
    <n v="3000"/>
    <n v="0.01"/>
    <n v="30"/>
    <x v="4"/>
  </r>
  <r>
    <s v="Order-462"/>
    <x v="12"/>
    <x v="3"/>
    <x v="0"/>
    <n v="7"/>
    <n v="16"/>
    <n v="112"/>
    <n v="0.08"/>
    <n v="8.9600000000000009"/>
    <x v="5"/>
  </r>
  <r>
    <s v="Order-463"/>
    <x v="12"/>
    <x v="0"/>
    <x v="1"/>
    <n v="2"/>
    <n v="80"/>
    <n v="160"/>
    <n v="7.0000000000000007E-2"/>
    <n v="11.200000000000001"/>
    <x v="6"/>
  </r>
  <r>
    <s v="Order-464"/>
    <x v="12"/>
    <x v="1"/>
    <x v="1"/>
    <n v="23"/>
    <n v="40"/>
    <n v="920"/>
    <n v="0.06"/>
    <n v="55.199999999999996"/>
    <x v="7"/>
  </r>
  <r>
    <s v="Order-465"/>
    <x v="12"/>
    <x v="3"/>
    <x v="0"/>
    <n v="12"/>
    <n v="16"/>
    <n v="192"/>
    <n v="0.11"/>
    <n v="21.12"/>
    <x v="8"/>
  </r>
  <r>
    <s v="Order-466"/>
    <x v="12"/>
    <x v="2"/>
    <x v="3"/>
    <n v="2"/>
    <n v="230"/>
    <n v="460"/>
    <n v="0.09"/>
    <n v="41.4"/>
    <x v="9"/>
  </r>
  <r>
    <s v="Order-467"/>
    <x v="12"/>
    <x v="4"/>
    <x v="0"/>
    <n v="4"/>
    <n v="150"/>
    <n v="600"/>
    <n v="0.06"/>
    <n v="36"/>
    <x v="10"/>
  </r>
  <r>
    <s v="Order-468"/>
    <x v="12"/>
    <x v="1"/>
    <x v="0"/>
    <n v="23"/>
    <n v="40"/>
    <n v="920"/>
    <n v="7.0000000000000007E-2"/>
    <n v="64.400000000000006"/>
    <x v="11"/>
  </r>
  <r>
    <s v="Order-469"/>
    <x v="12"/>
    <x v="3"/>
    <x v="4"/>
    <n v="2"/>
    <n v="16"/>
    <n v="32"/>
    <n v="0.04"/>
    <n v="1.28"/>
    <x v="0"/>
  </r>
  <r>
    <s v="Order-470"/>
    <x v="12"/>
    <x v="4"/>
    <x v="3"/>
    <n v="7"/>
    <n v="150"/>
    <n v="1050"/>
    <n v="0.05"/>
    <n v="52.5"/>
    <x v="1"/>
  </r>
  <r>
    <s v="Order-471"/>
    <x v="13"/>
    <x v="1"/>
    <x v="0"/>
    <n v="15"/>
    <n v="40"/>
    <n v="600"/>
    <n v="0.06"/>
    <n v="36"/>
    <x v="2"/>
  </r>
  <r>
    <s v="Order-472"/>
    <x v="13"/>
    <x v="0"/>
    <x v="3"/>
    <n v="16"/>
    <n v="80"/>
    <n v="1280"/>
    <n v="0.05"/>
    <n v="64"/>
    <x v="3"/>
  </r>
  <r>
    <s v="Order-473"/>
    <x v="13"/>
    <x v="1"/>
    <x v="4"/>
    <n v="16"/>
    <n v="40"/>
    <n v="640"/>
    <n v="0.11"/>
    <n v="70.400000000000006"/>
    <x v="4"/>
  </r>
  <r>
    <s v="Order-474"/>
    <x v="13"/>
    <x v="3"/>
    <x v="4"/>
    <n v="23"/>
    <n v="16"/>
    <n v="368"/>
    <n v="0.01"/>
    <n v="3.68"/>
    <x v="5"/>
  </r>
  <r>
    <s v="Order-475"/>
    <x v="13"/>
    <x v="2"/>
    <x v="1"/>
    <n v="12"/>
    <n v="230"/>
    <n v="2760"/>
    <n v="0.03"/>
    <n v="82.8"/>
    <x v="6"/>
  </r>
  <r>
    <s v="Order-476"/>
    <x v="13"/>
    <x v="3"/>
    <x v="0"/>
    <n v="4"/>
    <n v="16"/>
    <n v="64"/>
    <n v="0.12"/>
    <n v="7.68"/>
    <x v="7"/>
  </r>
  <r>
    <s v="Order-477"/>
    <x v="13"/>
    <x v="4"/>
    <x v="3"/>
    <n v="3"/>
    <n v="150"/>
    <n v="450"/>
    <n v="0.01"/>
    <n v="4.5"/>
    <x v="8"/>
  </r>
  <r>
    <s v="Order-478"/>
    <x v="13"/>
    <x v="4"/>
    <x v="1"/>
    <n v="10"/>
    <n v="150"/>
    <n v="1500"/>
    <n v="0.01"/>
    <n v="15"/>
    <x v="9"/>
  </r>
  <r>
    <s v="Order-479"/>
    <x v="13"/>
    <x v="0"/>
    <x v="1"/>
    <n v="13"/>
    <n v="80"/>
    <n v="1040"/>
    <n v="0.06"/>
    <n v="62.4"/>
    <x v="10"/>
  </r>
  <r>
    <s v="Order-480"/>
    <x v="13"/>
    <x v="2"/>
    <x v="2"/>
    <n v="15"/>
    <n v="230"/>
    <n v="3450"/>
    <n v="0.04"/>
    <n v="138"/>
    <x v="11"/>
  </r>
  <r>
    <s v="Order-481"/>
    <x v="13"/>
    <x v="4"/>
    <x v="0"/>
    <n v="23"/>
    <n v="150"/>
    <n v="3450"/>
    <n v="0.1"/>
    <n v="345"/>
    <x v="0"/>
  </r>
  <r>
    <s v="Order-482"/>
    <x v="13"/>
    <x v="4"/>
    <x v="1"/>
    <n v="15"/>
    <n v="150"/>
    <n v="2250"/>
    <n v="0.12"/>
    <n v="270"/>
    <x v="1"/>
  </r>
  <r>
    <s v="Order-483"/>
    <x v="13"/>
    <x v="4"/>
    <x v="2"/>
    <n v="20"/>
    <n v="150"/>
    <n v="3000"/>
    <n v="0.12"/>
    <n v="360"/>
    <x v="2"/>
  </r>
  <r>
    <s v="Order-484"/>
    <x v="13"/>
    <x v="1"/>
    <x v="3"/>
    <n v="13"/>
    <n v="40"/>
    <n v="520"/>
    <n v="0.09"/>
    <n v="46.8"/>
    <x v="3"/>
  </r>
  <r>
    <s v="Order-485"/>
    <x v="14"/>
    <x v="3"/>
    <x v="2"/>
    <n v="11"/>
    <n v="16"/>
    <n v="176"/>
    <n v="0.04"/>
    <n v="7.04"/>
    <x v="4"/>
  </r>
  <r>
    <s v="Order-486"/>
    <x v="14"/>
    <x v="4"/>
    <x v="2"/>
    <n v="20"/>
    <n v="150"/>
    <n v="3000"/>
    <n v="0.04"/>
    <n v="120"/>
    <x v="5"/>
  </r>
  <r>
    <s v="Order-487"/>
    <x v="14"/>
    <x v="1"/>
    <x v="0"/>
    <n v="18"/>
    <n v="40"/>
    <n v="720"/>
    <n v="0.11"/>
    <n v="79.2"/>
    <x v="6"/>
  </r>
  <r>
    <s v="Order-488"/>
    <x v="14"/>
    <x v="1"/>
    <x v="2"/>
    <n v="2"/>
    <n v="40"/>
    <n v="80"/>
    <n v="0.03"/>
    <n v="2.4"/>
    <x v="7"/>
  </r>
  <r>
    <s v="Order-489"/>
    <x v="14"/>
    <x v="3"/>
    <x v="3"/>
    <n v="15"/>
    <n v="16"/>
    <n v="240"/>
    <n v="0.12"/>
    <n v="28.799999999999997"/>
    <x v="8"/>
  </r>
  <r>
    <s v="Order-490"/>
    <x v="14"/>
    <x v="3"/>
    <x v="2"/>
    <n v="9"/>
    <n v="16"/>
    <n v="144"/>
    <n v="0.05"/>
    <n v="7.2"/>
    <x v="9"/>
  </r>
  <r>
    <s v="Order-491"/>
    <x v="14"/>
    <x v="1"/>
    <x v="4"/>
    <n v="7"/>
    <n v="40"/>
    <n v="280"/>
    <n v="0.05"/>
    <n v="14"/>
    <x v="0"/>
  </r>
  <r>
    <s v="Order-492"/>
    <x v="14"/>
    <x v="4"/>
    <x v="4"/>
    <n v="4"/>
    <n v="150"/>
    <n v="600"/>
    <n v="0.05"/>
    <n v="30"/>
    <x v="1"/>
  </r>
  <r>
    <s v="Order-493"/>
    <x v="14"/>
    <x v="2"/>
    <x v="0"/>
    <n v="15"/>
    <n v="230"/>
    <n v="3450"/>
    <n v="0.05"/>
    <n v="172.5"/>
    <x v="2"/>
  </r>
  <r>
    <s v="Order-494"/>
    <x v="15"/>
    <x v="1"/>
    <x v="1"/>
    <n v="12"/>
    <n v="40"/>
    <n v="480"/>
    <n v="0.1"/>
    <n v="48"/>
    <x v="3"/>
  </r>
  <r>
    <s v="Order-495"/>
    <x v="15"/>
    <x v="2"/>
    <x v="3"/>
    <n v="23"/>
    <n v="230"/>
    <n v="5290"/>
    <n v="0.06"/>
    <n v="317.39999999999998"/>
    <x v="4"/>
  </r>
  <r>
    <s v="Order-496"/>
    <x v="15"/>
    <x v="3"/>
    <x v="0"/>
    <n v="11"/>
    <n v="16"/>
    <n v="176"/>
    <n v="0.09"/>
    <n v="15.84"/>
    <x v="5"/>
  </r>
  <r>
    <s v="Order-497"/>
    <x v="15"/>
    <x v="4"/>
    <x v="0"/>
    <n v="9"/>
    <n v="150"/>
    <n v="1350"/>
    <n v="0.1"/>
    <n v="135"/>
    <x v="6"/>
  </r>
  <r>
    <s v="Order-498"/>
    <x v="15"/>
    <x v="0"/>
    <x v="0"/>
    <n v="18"/>
    <n v="80"/>
    <n v="1440"/>
    <n v="0.02"/>
    <n v="28.8"/>
    <x v="7"/>
  </r>
  <r>
    <s v="Order-499"/>
    <x v="15"/>
    <x v="1"/>
    <x v="4"/>
    <n v="23"/>
    <n v="40"/>
    <n v="920"/>
    <n v="0.04"/>
    <n v="36.800000000000004"/>
    <x v="8"/>
  </r>
  <r>
    <s v="Order-500"/>
    <x v="15"/>
    <x v="3"/>
    <x v="4"/>
    <n v="17"/>
    <n v="16"/>
    <n v="272"/>
    <n v="0.1"/>
    <n v="27.200000000000003"/>
    <x v="9"/>
  </r>
  <r>
    <s v="Order-501"/>
    <x v="15"/>
    <x v="4"/>
    <x v="4"/>
    <n v="17"/>
    <n v="150"/>
    <n v="2550"/>
    <n v="0.02"/>
    <n v="51"/>
    <x v="10"/>
  </r>
  <r>
    <s v="Order-502"/>
    <x v="15"/>
    <x v="0"/>
    <x v="3"/>
    <n v="21"/>
    <n v="80"/>
    <n v="1680"/>
    <n v="0.02"/>
    <n v="33.6"/>
    <x v="11"/>
  </r>
  <r>
    <s v="Order-503"/>
    <x v="15"/>
    <x v="1"/>
    <x v="3"/>
    <n v="11"/>
    <n v="40"/>
    <n v="440"/>
    <n v="0.06"/>
    <n v="26.4"/>
    <x v="0"/>
  </r>
  <r>
    <s v="Order-504"/>
    <x v="15"/>
    <x v="1"/>
    <x v="0"/>
    <n v="19"/>
    <n v="40"/>
    <n v="760"/>
    <n v="0.04"/>
    <n v="30.400000000000002"/>
    <x v="1"/>
  </r>
  <r>
    <s v="Order-505"/>
    <x v="15"/>
    <x v="1"/>
    <x v="0"/>
    <n v="23"/>
    <n v="40"/>
    <n v="920"/>
    <n v="0.03"/>
    <n v="27.599999999999998"/>
    <x v="2"/>
  </r>
  <r>
    <s v="Order-506"/>
    <x v="15"/>
    <x v="2"/>
    <x v="1"/>
    <n v="14"/>
    <n v="230"/>
    <n v="3220"/>
    <n v="0.05"/>
    <n v="161"/>
    <x v="3"/>
  </r>
  <r>
    <s v="Order-507"/>
    <x v="15"/>
    <x v="1"/>
    <x v="2"/>
    <n v="18"/>
    <n v="40"/>
    <n v="720"/>
    <n v="0.03"/>
    <n v="21.599999999999998"/>
    <x v="4"/>
  </r>
  <r>
    <s v="Order-508"/>
    <x v="15"/>
    <x v="4"/>
    <x v="1"/>
    <n v="2"/>
    <n v="150"/>
    <n v="300"/>
    <n v="0.09"/>
    <n v="27"/>
    <x v="5"/>
  </r>
  <r>
    <s v="Order-509"/>
    <x v="15"/>
    <x v="2"/>
    <x v="1"/>
    <n v="7"/>
    <n v="230"/>
    <n v="1610"/>
    <n v="0.05"/>
    <n v="80.5"/>
    <x v="6"/>
  </r>
  <r>
    <s v="Order-510"/>
    <x v="16"/>
    <x v="4"/>
    <x v="2"/>
    <n v="9"/>
    <n v="150"/>
    <n v="1350"/>
    <n v="0.02"/>
    <n v="27"/>
    <x v="7"/>
  </r>
  <r>
    <s v="Order-511"/>
    <x v="16"/>
    <x v="1"/>
    <x v="4"/>
    <n v="3"/>
    <n v="40"/>
    <n v="120"/>
    <n v="0.03"/>
    <n v="3.5999999999999996"/>
    <x v="8"/>
  </r>
  <r>
    <s v="Order-512"/>
    <x v="16"/>
    <x v="0"/>
    <x v="3"/>
    <n v="2"/>
    <n v="80"/>
    <n v="160"/>
    <n v="0.08"/>
    <n v="12.8"/>
    <x v="9"/>
  </r>
  <r>
    <s v="Order-513"/>
    <x v="16"/>
    <x v="3"/>
    <x v="4"/>
    <n v="19"/>
    <n v="16"/>
    <n v="304"/>
    <n v="0.02"/>
    <n v="6.08"/>
    <x v="10"/>
  </r>
  <r>
    <s v="Order-514"/>
    <x v="16"/>
    <x v="3"/>
    <x v="1"/>
    <n v="21"/>
    <n v="16"/>
    <n v="336"/>
    <n v="0.02"/>
    <n v="6.72"/>
    <x v="11"/>
  </r>
  <r>
    <s v="Order-515"/>
    <x v="16"/>
    <x v="0"/>
    <x v="3"/>
    <n v="21"/>
    <n v="80"/>
    <n v="1680"/>
    <n v="0.05"/>
    <n v="84"/>
    <x v="0"/>
  </r>
  <r>
    <s v="Order-516"/>
    <x v="16"/>
    <x v="2"/>
    <x v="4"/>
    <n v="3"/>
    <n v="230"/>
    <n v="690"/>
    <n v="0.1"/>
    <n v="69"/>
    <x v="1"/>
  </r>
  <r>
    <s v="Order-517"/>
    <x v="16"/>
    <x v="1"/>
    <x v="2"/>
    <n v="4"/>
    <n v="40"/>
    <n v="160"/>
    <n v="0.11"/>
    <n v="17.600000000000001"/>
    <x v="2"/>
  </r>
  <r>
    <s v="Order-518"/>
    <x v="16"/>
    <x v="4"/>
    <x v="4"/>
    <n v="7"/>
    <n v="150"/>
    <n v="1050"/>
    <n v="0.03"/>
    <n v="31.5"/>
    <x v="3"/>
  </r>
  <r>
    <s v="Order-519"/>
    <x v="16"/>
    <x v="3"/>
    <x v="2"/>
    <n v="11"/>
    <n v="16"/>
    <n v="176"/>
    <n v="0.12"/>
    <n v="21.119999999999997"/>
    <x v="4"/>
  </r>
  <r>
    <s v="Order-520"/>
    <x v="16"/>
    <x v="0"/>
    <x v="0"/>
    <n v="17"/>
    <n v="80"/>
    <n v="1360"/>
    <n v="7.0000000000000007E-2"/>
    <n v="95.2"/>
    <x v="5"/>
  </r>
  <r>
    <s v="Order-521"/>
    <x v="16"/>
    <x v="3"/>
    <x v="3"/>
    <n v="5"/>
    <n v="16"/>
    <n v="80"/>
    <n v="0.09"/>
    <n v="7.1999999999999993"/>
    <x v="6"/>
  </r>
  <r>
    <s v="Order-522"/>
    <x v="16"/>
    <x v="3"/>
    <x v="4"/>
    <n v="13"/>
    <n v="16"/>
    <n v="208"/>
    <n v="7.0000000000000007E-2"/>
    <n v="14.560000000000002"/>
    <x v="7"/>
  </r>
  <r>
    <s v="Order-523"/>
    <x v="16"/>
    <x v="0"/>
    <x v="4"/>
    <n v="9"/>
    <n v="80"/>
    <n v="720"/>
    <n v="0.02"/>
    <n v="14.4"/>
    <x v="8"/>
  </r>
  <r>
    <s v="Order-524"/>
    <x v="17"/>
    <x v="0"/>
    <x v="4"/>
    <n v="9"/>
    <n v="80"/>
    <n v="720"/>
    <n v="0.02"/>
    <n v="14.4"/>
    <x v="9"/>
  </r>
  <r>
    <s v="Order-525"/>
    <x v="17"/>
    <x v="0"/>
    <x v="3"/>
    <n v="22"/>
    <n v="80"/>
    <n v="1760"/>
    <n v="0.03"/>
    <n v="52.8"/>
    <x v="10"/>
  </r>
  <r>
    <s v="Order-526"/>
    <x v="17"/>
    <x v="4"/>
    <x v="0"/>
    <n v="13"/>
    <n v="150"/>
    <n v="1950"/>
    <n v="0.05"/>
    <n v="97.5"/>
    <x v="11"/>
  </r>
  <r>
    <s v="Order-527"/>
    <x v="17"/>
    <x v="0"/>
    <x v="0"/>
    <n v="14"/>
    <n v="80"/>
    <n v="1120"/>
    <n v="0.08"/>
    <n v="89.600000000000009"/>
    <x v="0"/>
  </r>
  <r>
    <s v="Order-528"/>
    <x v="17"/>
    <x v="0"/>
    <x v="0"/>
    <n v="6"/>
    <n v="80"/>
    <n v="480"/>
    <n v="7.0000000000000007E-2"/>
    <n v="33.6"/>
    <x v="1"/>
  </r>
  <r>
    <s v="Order-529"/>
    <x v="17"/>
    <x v="0"/>
    <x v="0"/>
    <n v="16"/>
    <n v="80"/>
    <n v="1280"/>
    <n v="0.03"/>
    <n v="38.4"/>
    <x v="2"/>
  </r>
  <r>
    <s v="Order-530"/>
    <x v="17"/>
    <x v="4"/>
    <x v="2"/>
    <n v="22"/>
    <n v="150"/>
    <n v="3300"/>
    <n v="0.09"/>
    <n v="297"/>
    <x v="3"/>
  </r>
  <r>
    <s v="Order-531"/>
    <x v="17"/>
    <x v="4"/>
    <x v="3"/>
    <n v="4"/>
    <n v="150"/>
    <n v="600"/>
    <n v="0.12"/>
    <n v="72"/>
    <x v="4"/>
  </r>
  <r>
    <s v="Order-532"/>
    <x v="17"/>
    <x v="2"/>
    <x v="4"/>
    <n v="7"/>
    <n v="230"/>
    <n v="1610"/>
    <n v="0.05"/>
    <n v="80.5"/>
    <x v="5"/>
  </r>
  <r>
    <s v="Order-533"/>
    <x v="17"/>
    <x v="4"/>
    <x v="3"/>
    <n v="20"/>
    <n v="150"/>
    <n v="3000"/>
    <n v="0.1"/>
    <n v="300"/>
    <x v="6"/>
  </r>
  <r>
    <s v="Order-534"/>
    <x v="17"/>
    <x v="2"/>
    <x v="3"/>
    <n v="8"/>
    <n v="230"/>
    <n v="1840"/>
    <n v="0.05"/>
    <n v="92"/>
    <x v="7"/>
  </r>
  <r>
    <s v="Order-535"/>
    <x v="18"/>
    <x v="1"/>
    <x v="3"/>
    <n v="9"/>
    <n v="40"/>
    <n v="360"/>
    <n v="0.06"/>
    <n v="21.599999999999998"/>
    <x v="8"/>
  </r>
  <r>
    <s v="Order-536"/>
    <x v="18"/>
    <x v="2"/>
    <x v="3"/>
    <n v="19"/>
    <n v="230"/>
    <n v="4370"/>
    <n v="0.06"/>
    <n v="262.2"/>
    <x v="9"/>
  </r>
  <r>
    <s v="Order-537"/>
    <x v="18"/>
    <x v="1"/>
    <x v="3"/>
    <n v="22"/>
    <n v="40"/>
    <n v="880"/>
    <n v="0.01"/>
    <n v="8.8000000000000007"/>
    <x v="10"/>
  </r>
  <r>
    <s v="Order-538"/>
    <x v="18"/>
    <x v="1"/>
    <x v="0"/>
    <n v="22"/>
    <n v="40"/>
    <n v="880"/>
    <n v="0.02"/>
    <n v="17.600000000000001"/>
    <x v="11"/>
  </r>
  <r>
    <s v="Order-539"/>
    <x v="18"/>
    <x v="0"/>
    <x v="4"/>
    <n v="10"/>
    <n v="80"/>
    <n v="800"/>
    <n v="0.06"/>
    <n v="48"/>
    <x v="0"/>
  </r>
  <r>
    <s v="Order-540"/>
    <x v="18"/>
    <x v="1"/>
    <x v="3"/>
    <n v="7"/>
    <n v="40"/>
    <n v="280"/>
    <n v="0.11"/>
    <n v="30.8"/>
    <x v="1"/>
  </r>
  <r>
    <s v="Order-541"/>
    <x v="18"/>
    <x v="2"/>
    <x v="0"/>
    <n v="7"/>
    <n v="230"/>
    <n v="1610"/>
    <n v="0.08"/>
    <n v="128.80000000000001"/>
    <x v="2"/>
  </r>
  <r>
    <s v="Order-542"/>
    <x v="18"/>
    <x v="3"/>
    <x v="0"/>
    <n v="18"/>
    <n v="16"/>
    <n v="288"/>
    <n v="0.11"/>
    <n v="31.68"/>
    <x v="3"/>
  </r>
  <r>
    <s v="Order-543"/>
    <x v="18"/>
    <x v="2"/>
    <x v="2"/>
    <n v="14"/>
    <n v="230"/>
    <n v="3220"/>
    <n v="0.12"/>
    <n v="386.4"/>
    <x v="4"/>
  </r>
  <r>
    <s v="Order-544"/>
    <x v="18"/>
    <x v="1"/>
    <x v="1"/>
    <n v="21"/>
    <n v="40"/>
    <n v="840"/>
    <n v="0.03"/>
    <n v="25.2"/>
    <x v="5"/>
  </r>
  <r>
    <s v="Order-545"/>
    <x v="18"/>
    <x v="4"/>
    <x v="0"/>
    <n v="3"/>
    <n v="150"/>
    <n v="450"/>
    <n v="0.03"/>
    <n v="13.5"/>
    <x v="6"/>
  </r>
  <r>
    <s v="Order-546"/>
    <x v="18"/>
    <x v="0"/>
    <x v="0"/>
    <n v="12"/>
    <n v="80"/>
    <n v="960"/>
    <n v="0.04"/>
    <n v="38.4"/>
    <x v="7"/>
  </r>
  <r>
    <s v="Order-547"/>
    <x v="19"/>
    <x v="4"/>
    <x v="3"/>
    <n v="6"/>
    <n v="150"/>
    <n v="900"/>
    <n v="0.03"/>
    <n v="27"/>
    <x v="8"/>
  </r>
  <r>
    <s v="Order-548"/>
    <x v="19"/>
    <x v="1"/>
    <x v="2"/>
    <n v="20"/>
    <n v="40"/>
    <n v="800"/>
    <n v="0.01"/>
    <n v="8"/>
    <x v="9"/>
  </r>
  <r>
    <s v="Order-549"/>
    <x v="19"/>
    <x v="2"/>
    <x v="0"/>
    <n v="3"/>
    <n v="230"/>
    <n v="690"/>
    <n v="0.06"/>
    <n v="41.4"/>
    <x v="6"/>
  </r>
  <r>
    <s v="Order-550"/>
    <x v="19"/>
    <x v="2"/>
    <x v="3"/>
    <n v="3"/>
    <n v="230"/>
    <n v="690"/>
    <n v="0.01"/>
    <n v="6.9"/>
    <x v="7"/>
  </r>
  <r>
    <s v="Order-551"/>
    <x v="19"/>
    <x v="1"/>
    <x v="0"/>
    <n v="20"/>
    <n v="40"/>
    <n v="800"/>
    <n v="0.04"/>
    <n v="32"/>
    <x v="8"/>
  </r>
  <r>
    <s v="Order-552"/>
    <x v="19"/>
    <x v="0"/>
    <x v="2"/>
    <n v="16"/>
    <n v="80"/>
    <n v="1280"/>
    <n v="0.02"/>
    <n v="25.6"/>
    <x v="9"/>
  </r>
  <r>
    <s v="Order-553"/>
    <x v="19"/>
    <x v="4"/>
    <x v="0"/>
    <n v="8"/>
    <n v="150"/>
    <n v="1200"/>
    <n v="0.09"/>
    <n v="108"/>
    <x v="6"/>
  </r>
  <r>
    <s v="Order-554"/>
    <x v="20"/>
    <x v="2"/>
    <x v="1"/>
    <n v="7"/>
    <n v="230"/>
    <n v="1610"/>
    <n v="0.01"/>
    <n v="16.100000000000001"/>
    <x v="7"/>
  </r>
  <r>
    <s v="Order-555"/>
    <x v="20"/>
    <x v="4"/>
    <x v="1"/>
    <n v="23"/>
    <n v="150"/>
    <n v="3450"/>
    <n v="0.11"/>
    <n v="379.5"/>
    <x v="8"/>
  </r>
  <r>
    <s v="Order-556"/>
    <x v="20"/>
    <x v="1"/>
    <x v="4"/>
    <n v="16"/>
    <n v="40"/>
    <n v="640"/>
    <n v="0.09"/>
    <n v="57.599999999999994"/>
    <x v="9"/>
  </r>
  <r>
    <s v="Order-557"/>
    <x v="20"/>
    <x v="1"/>
    <x v="4"/>
    <n v="20"/>
    <n v="40"/>
    <n v="800"/>
    <n v="0.1"/>
    <n v="80"/>
    <x v="6"/>
  </r>
  <r>
    <s v="Order-558"/>
    <x v="20"/>
    <x v="1"/>
    <x v="1"/>
    <n v="18"/>
    <n v="40"/>
    <n v="720"/>
    <n v="0.08"/>
    <n v="57.6"/>
    <x v="7"/>
  </r>
  <r>
    <s v="Order-559"/>
    <x v="20"/>
    <x v="0"/>
    <x v="4"/>
    <n v="22"/>
    <n v="80"/>
    <n v="1760"/>
    <n v="0.09"/>
    <n v="158.4"/>
    <x v="8"/>
  </r>
  <r>
    <s v="Order-560"/>
    <x v="20"/>
    <x v="4"/>
    <x v="1"/>
    <n v="22"/>
    <n v="150"/>
    <n v="3300"/>
    <n v="0.02"/>
    <n v="66"/>
    <x v="9"/>
  </r>
  <r>
    <s v="Order-561"/>
    <x v="20"/>
    <x v="4"/>
    <x v="1"/>
    <n v="20"/>
    <n v="150"/>
    <n v="3000"/>
    <n v="0.09"/>
    <n v="270"/>
    <x v="6"/>
  </r>
  <r>
    <s v="Order-562"/>
    <x v="20"/>
    <x v="3"/>
    <x v="0"/>
    <n v="10"/>
    <n v="16"/>
    <n v="160"/>
    <n v="0.08"/>
    <n v="12.8"/>
    <x v="7"/>
  </r>
  <r>
    <s v="Order-563"/>
    <x v="20"/>
    <x v="1"/>
    <x v="2"/>
    <n v="12"/>
    <n v="40"/>
    <n v="480"/>
    <n v="0.02"/>
    <n v="9.6"/>
    <x v="8"/>
  </r>
  <r>
    <s v="Order-564"/>
    <x v="20"/>
    <x v="4"/>
    <x v="0"/>
    <n v="4"/>
    <n v="150"/>
    <n v="600"/>
    <n v="0.1"/>
    <n v="60"/>
    <x v="9"/>
  </r>
  <r>
    <s v="Order-565"/>
    <x v="20"/>
    <x v="0"/>
    <x v="2"/>
    <n v="5"/>
    <n v="80"/>
    <n v="400"/>
    <n v="0.09"/>
    <n v="36"/>
    <x v="6"/>
  </r>
  <r>
    <s v="Order-566"/>
    <x v="20"/>
    <x v="1"/>
    <x v="0"/>
    <n v="11"/>
    <n v="40"/>
    <n v="440"/>
    <n v="0.04"/>
    <n v="17.600000000000001"/>
    <x v="7"/>
  </r>
  <r>
    <s v="Order-567"/>
    <x v="20"/>
    <x v="4"/>
    <x v="1"/>
    <n v="13"/>
    <n v="150"/>
    <n v="1950"/>
    <n v="0.08"/>
    <n v="156"/>
    <x v="8"/>
  </r>
  <r>
    <s v="Order-568"/>
    <x v="20"/>
    <x v="0"/>
    <x v="3"/>
    <n v="19"/>
    <n v="80"/>
    <n v="1520"/>
    <n v="0.02"/>
    <n v="30.400000000000002"/>
    <x v="9"/>
  </r>
  <r>
    <s v="Order-569"/>
    <x v="20"/>
    <x v="2"/>
    <x v="1"/>
    <n v="7"/>
    <n v="230"/>
    <n v="1610"/>
    <n v="0.01"/>
    <n v="16.100000000000001"/>
    <x v="6"/>
  </r>
  <r>
    <s v="Order-570"/>
    <x v="21"/>
    <x v="0"/>
    <x v="4"/>
    <n v="16"/>
    <n v="80"/>
    <n v="1280"/>
    <n v="0.09"/>
    <n v="115.19999999999999"/>
    <x v="7"/>
  </r>
  <r>
    <s v="Order-571"/>
    <x v="21"/>
    <x v="2"/>
    <x v="0"/>
    <n v="7"/>
    <n v="230"/>
    <n v="1610"/>
    <n v="0.02"/>
    <n v="32.200000000000003"/>
    <x v="8"/>
  </r>
  <r>
    <s v="Order-572"/>
    <x v="21"/>
    <x v="1"/>
    <x v="0"/>
    <n v="5"/>
    <n v="40"/>
    <n v="200"/>
    <n v="0.06"/>
    <n v="12"/>
    <x v="9"/>
  </r>
  <r>
    <s v="Order-573"/>
    <x v="21"/>
    <x v="4"/>
    <x v="2"/>
    <n v="9"/>
    <n v="150"/>
    <n v="1350"/>
    <n v="0.06"/>
    <n v="81"/>
    <x v="6"/>
  </r>
  <r>
    <s v="Order-574"/>
    <x v="21"/>
    <x v="1"/>
    <x v="4"/>
    <n v="20"/>
    <n v="40"/>
    <n v="800"/>
    <n v="7.0000000000000007E-2"/>
    <n v="56.000000000000007"/>
    <x v="7"/>
  </r>
  <r>
    <s v="Order-575"/>
    <x v="21"/>
    <x v="3"/>
    <x v="1"/>
    <n v="20"/>
    <n v="16"/>
    <n v="320"/>
    <n v="0.06"/>
    <n v="19.2"/>
    <x v="8"/>
  </r>
  <r>
    <s v="Order-576"/>
    <x v="21"/>
    <x v="1"/>
    <x v="4"/>
    <n v="5"/>
    <n v="40"/>
    <n v="200"/>
    <n v="0.03"/>
    <n v="6"/>
    <x v="9"/>
  </r>
  <r>
    <s v="Order-577"/>
    <x v="22"/>
    <x v="0"/>
    <x v="3"/>
    <n v="7"/>
    <n v="80"/>
    <n v="560"/>
    <n v="7.0000000000000007E-2"/>
    <n v="39.200000000000003"/>
    <x v="6"/>
  </r>
  <r>
    <s v="Order-578"/>
    <x v="22"/>
    <x v="3"/>
    <x v="4"/>
    <n v="22"/>
    <n v="16"/>
    <n v="352"/>
    <n v="0.12"/>
    <n v="42.239999999999995"/>
    <x v="7"/>
  </r>
  <r>
    <s v="Order-579"/>
    <x v="22"/>
    <x v="3"/>
    <x v="4"/>
    <n v="11"/>
    <n v="16"/>
    <n v="176"/>
    <n v="0.12"/>
    <n v="21.119999999999997"/>
    <x v="8"/>
  </r>
  <r>
    <s v="Order-580"/>
    <x v="22"/>
    <x v="2"/>
    <x v="3"/>
    <n v="17"/>
    <n v="230"/>
    <n v="3910"/>
    <n v="0.12"/>
    <n v="469.2"/>
    <x v="9"/>
  </r>
  <r>
    <s v="Order-581"/>
    <x v="22"/>
    <x v="0"/>
    <x v="0"/>
    <n v="7"/>
    <n v="80"/>
    <n v="560"/>
    <n v="0.02"/>
    <n v="11.200000000000001"/>
    <x v="6"/>
  </r>
  <r>
    <s v="Order-582"/>
    <x v="22"/>
    <x v="3"/>
    <x v="1"/>
    <n v="5"/>
    <n v="16"/>
    <n v="80"/>
    <n v="0.11"/>
    <n v="8.8000000000000007"/>
    <x v="7"/>
  </r>
  <r>
    <s v="Order-583"/>
    <x v="22"/>
    <x v="4"/>
    <x v="4"/>
    <n v="18"/>
    <n v="150"/>
    <n v="2700"/>
    <n v="0.12"/>
    <n v="324"/>
    <x v="8"/>
  </r>
  <r>
    <s v="Order-584"/>
    <x v="22"/>
    <x v="1"/>
    <x v="4"/>
    <n v="10"/>
    <n v="40"/>
    <n v="400"/>
    <n v="0.03"/>
    <n v="12"/>
    <x v="9"/>
  </r>
  <r>
    <s v="Order-585"/>
    <x v="22"/>
    <x v="1"/>
    <x v="4"/>
    <n v="14"/>
    <n v="40"/>
    <n v="560"/>
    <n v="0.11"/>
    <n v="61.6"/>
    <x v="6"/>
  </r>
  <r>
    <s v="Order-586"/>
    <x v="22"/>
    <x v="1"/>
    <x v="4"/>
    <n v="16"/>
    <n v="40"/>
    <n v="640"/>
    <n v="0.09"/>
    <n v="57.599999999999994"/>
    <x v="7"/>
  </r>
  <r>
    <s v="Order-587"/>
    <x v="23"/>
    <x v="1"/>
    <x v="3"/>
    <n v="23"/>
    <n v="40"/>
    <n v="920"/>
    <n v="0.06"/>
    <n v="55.199999999999996"/>
    <x v="8"/>
  </r>
  <r>
    <s v="Order-588"/>
    <x v="23"/>
    <x v="2"/>
    <x v="3"/>
    <n v="8"/>
    <n v="230"/>
    <n v="1840"/>
    <n v="0.05"/>
    <n v="92"/>
    <x v="9"/>
  </r>
  <r>
    <s v="Order-589"/>
    <x v="23"/>
    <x v="3"/>
    <x v="3"/>
    <n v="14"/>
    <n v="16"/>
    <n v="224"/>
    <n v="0.12"/>
    <n v="26.88"/>
    <x v="6"/>
  </r>
  <r>
    <s v="Order-590"/>
    <x v="23"/>
    <x v="0"/>
    <x v="0"/>
    <n v="17"/>
    <n v="80"/>
    <n v="1360"/>
    <n v="0.09"/>
    <n v="122.39999999999999"/>
    <x v="7"/>
  </r>
  <r>
    <s v="Order-591"/>
    <x v="23"/>
    <x v="4"/>
    <x v="2"/>
    <n v="11"/>
    <n v="150"/>
    <n v="1650"/>
    <n v="0.11"/>
    <n v="181.5"/>
    <x v="8"/>
  </r>
  <r>
    <s v="Order-592"/>
    <x v="23"/>
    <x v="1"/>
    <x v="3"/>
    <n v="15"/>
    <n v="40"/>
    <n v="600"/>
    <n v="0.03"/>
    <n v="18"/>
    <x v="9"/>
  </r>
  <r>
    <s v="Order-593"/>
    <x v="23"/>
    <x v="0"/>
    <x v="4"/>
    <n v="9"/>
    <n v="80"/>
    <n v="720"/>
    <n v="7.0000000000000007E-2"/>
    <n v="50.400000000000006"/>
    <x v="6"/>
  </r>
  <r>
    <s v="Order-594"/>
    <x v="23"/>
    <x v="2"/>
    <x v="1"/>
    <n v="22"/>
    <n v="230"/>
    <n v="5060"/>
    <n v="0.04"/>
    <n v="202.4"/>
    <x v="7"/>
  </r>
  <r>
    <s v="Order-595"/>
    <x v="23"/>
    <x v="2"/>
    <x v="1"/>
    <n v="11"/>
    <n v="230"/>
    <n v="2530"/>
    <n v="0.1"/>
    <n v="253"/>
    <x v="8"/>
  </r>
  <r>
    <s v="Order-596"/>
    <x v="23"/>
    <x v="1"/>
    <x v="2"/>
    <n v="11"/>
    <n v="40"/>
    <n v="440"/>
    <n v="0.12"/>
    <n v="52.8"/>
    <x v="9"/>
  </r>
  <r>
    <s v="Order-597"/>
    <x v="23"/>
    <x v="1"/>
    <x v="3"/>
    <n v="9"/>
    <n v="40"/>
    <n v="360"/>
    <n v="0.06"/>
    <n v="21.599999999999998"/>
    <x v="6"/>
  </r>
  <r>
    <s v="Order-598"/>
    <x v="24"/>
    <x v="1"/>
    <x v="3"/>
    <n v="13"/>
    <n v="40"/>
    <n v="520"/>
    <n v="0.09"/>
    <n v="46.8"/>
    <x v="7"/>
  </r>
  <r>
    <s v="Order-599"/>
    <x v="24"/>
    <x v="1"/>
    <x v="1"/>
    <n v="4"/>
    <n v="40"/>
    <n v="160"/>
    <n v="0.12"/>
    <n v="19.2"/>
    <x v="8"/>
  </r>
  <r>
    <s v="Order-600"/>
    <x v="24"/>
    <x v="4"/>
    <x v="0"/>
    <n v="22"/>
    <n v="150"/>
    <n v="3300"/>
    <n v="0.05"/>
    <n v="165"/>
    <x v="9"/>
  </r>
  <r>
    <s v="Order-601"/>
    <x v="24"/>
    <x v="1"/>
    <x v="4"/>
    <n v="21"/>
    <n v="40"/>
    <n v="840"/>
    <n v="0.01"/>
    <n v="8.4"/>
    <x v="6"/>
  </r>
  <r>
    <s v="Order-602"/>
    <x v="24"/>
    <x v="3"/>
    <x v="0"/>
    <n v="16"/>
    <n v="16"/>
    <n v="256"/>
    <n v="0.03"/>
    <n v="7.68"/>
    <x v="7"/>
  </r>
  <r>
    <s v="Order-603"/>
    <x v="24"/>
    <x v="0"/>
    <x v="3"/>
    <n v="16"/>
    <n v="80"/>
    <n v="1280"/>
    <n v="7.0000000000000007E-2"/>
    <n v="89.600000000000009"/>
    <x v="8"/>
  </r>
  <r>
    <s v="Order-604"/>
    <x v="24"/>
    <x v="0"/>
    <x v="1"/>
    <n v="15"/>
    <n v="80"/>
    <n v="1200"/>
    <n v="0.12"/>
    <n v="144"/>
    <x v="9"/>
  </r>
  <r>
    <s v="Order-605"/>
    <x v="24"/>
    <x v="4"/>
    <x v="0"/>
    <n v="20"/>
    <n v="150"/>
    <n v="3000"/>
    <n v="0.03"/>
    <n v="90"/>
    <x v="6"/>
  </r>
  <r>
    <s v="Order-606"/>
    <x v="24"/>
    <x v="1"/>
    <x v="3"/>
    <n v="13"/>
    <n v="40"/>
    <n v="520"/>
    <n v="0.06"/>
    <n v="31.2"/>
    <x v="7"/>
  </r>
  <r>
    <s v="Order-607"/>
    <x v="24"/>
    <x v="3"/>
    <x v="4"/>
    <n v="3"/>
    <n v="16"/>
    <n v="48"/>
    <n v="0.06"/>
    <n v="2.88"/>
    <x v="8"/>
  </r>
  <r>
    <s v="Order-608"/>
    <x v="24"/>
    <x v="3"/>
    <x v="2"/>
    <n v="11"/>
    <n v="16"/>
    <n v="176"/>
    <n v="0.04"/>
    <n v="7.04"/>
    <x v="9"/>
  </r>
  <r>
    <s v="Order-609"/>
    <x v="25"/>
    <x v="1"/>
    <x v="4"/>
    <n v="16"/>
    <n v="40"/>
    <n v="640"/>
    <n v="0.09"/>
    <n v="57.599999999999994"/>
    <x v="6"/>
  </r>
  <r>
    <s v="Order-610"/>
    <x v="25"/>
    <x v="1"/>
    <x v="2"/>
    <n v="4"/>
    <n v="40"/>
    <n v="160"/>
    <n v="0.06"/>
    <n v="9.6"/>
    <x v="7"/>
  </r>
  <r>
    <s v="Order-611"/>
    <x v="25"/>
    <x v="1"/>
    <x v="2"/>
    <n v="20"/>
    <n v="40"/>
    <n v="800"/>
    <n v="0.01"/>
    <n v="8"/>
    <x v="8"/>
  </r>
  <r>
    <s v="Order-612"/>
    <x v="25"/>
    <x v="1"/>
    <x v="2"/>
    <n v="4"/>
    <n v="40"/>
    <n v="160"/>
    <n v="0.1"/>
    <n v="16"/>
    <x v="9"/>
  </r>
  <r>
    <s v="Order-613"/>
    <x v="25"/>
    <x v="0"/>
    <x v="1"/>
    <n v="14"/>
    <n v="80"/>
    <n v="1120"/>
    <n v="0.06"/>
    <n v="67.2"/>
    <x v="6"/>
  </r>
  <r>
    <s v="Order-614"/>
    <x v="25"/>
    <x v="4"/>
    <x v="1"/>
    <n v="15"/>
    <n v="150"/>
    <n v="2250"/>
    <n v="0.02"/>
    <n v="45"/>
    <x v="7"/>
  </r>
  <r>
    <s v="Order-615"/>
    <x v="25"/>
    <x v="0"/>
    <x v="2"/>
    <n v="14"/>
    <n v="80"/>
    <n v="1120"/>
    <n v="0.1"/>
    <n v="112"/>
    <x v="8"/>
  </r>
  <r>
    <s v="Order-616"/>
    <x v="25"/>
    <x v="4"/>
    <x v="0"/>
    <n v="20"/>
    <n v="150"/>
    <n v="3000"/>
    <n v="0.04"/>
    <n v="120"/>
    <x v="9"/>
  </r>
  <r>
    <s v="Order-617"/>
    <x v="25"/>
    <x v="0"/>
    <x v="4"/>
    <n v="22"/>
    <n v="80"/>
    <n v="1760"/>
    <n v="0.1"/>
    <n v="176"/>
    <x v="6"/>
  </r>
  <r>
    <s v="Order-618"/>
    <x v="25"/>
    <x v="2"/>
    <x v="4"/>
    <n v="20"/>
    <n v="230"/>
    <n v="4600"/>
    <n v="0.09"/>
    <n v="414"/>
    <x v="7"/>
  </r>
  <r>
    <s v="Order-619"/>
    <x v="25"/>
    <x v="2"/>
    <x v="2"/>
    <n v="12"/>
    <n v="230"/>
    <n v="2760"/>
    <n v="0.03"/>
    <n v="82.8"/>
    <x v="8"/>
  </r>
  <r>
    <s v="Order-620"/>
    <x v="26"/>
    <x v="0"/>
    <x v="0"/>
    <n v="21"/>
    <n v="80"/>
    <n v="1680"/>
    <n v="0.04"/>
    <n v="67.2"/>
    <x v="9"/>
  </r>
  <r>
    <s v="Order-621"/>
    <x v="26"/>
    <x v="1"/>
    <x v="1"/>
    <n v="15"/>
    <n v="40"/>
    <n v="600"/>
    <n v="0.04"/>
    <n v="24"/>
    <x v="6"/>
  </r>
  <r>
    <s v="Order-622"/>
    <x v="26"/>
    <x v="0"/>
    <x v="3"/>
    <n v="16"/>
    <n v="80"/>
    <n v="1280"/>
    <n v="0.1"/>
    <n v="128"/>
    <x v="7"/>
  </r>
  <r>
    <s v="Order-623"/>
    <x v="26"/>
    <x v="2"/>
    <x v="4"/>
    <n v="17"/>
    <n v="230"/>
    <n v="3910"/>
    <n v="0.11"/>
    <n v="430.1"/>
    <x v="8"/>
  </r>
  <r>
    <s v="Order-624"/>
    <x v="26"/>
    <x v="2"/>
    <x v="4"/>
    <n v="5"/>
    <n v="230"/>
    <n v="1150"/>
    <n v="0.12"/>
    <n v="138"/>
    <x v="9"/>
  </r>
  <r>
    <s v="Order-625"/>
    <x v="26"/>
    <x v="3"/>
    <x v="0"/>
    <n v="20"/>
    <n v="16"/>
    <n v="320"/>
    <n v="0.01"/>
    <n v="3.2"/>
    <x v="6"/>
  </r>
  <r>
    <s v="Order-626"/>
    <x v="26"/>
    <x v="2"/>
    <x v="0"/>
    <n v="5"/>
    <n v="230"/>
    <n v="1150"/>
    <n v="0.1"/>
    <n v="115"/>
    <x v="7"/>
  </r>
  <r>
    <s v="Order-627"/>
    <x v="26"/>
    <x v="1"/>
    <x v="1"/>
    <n v="8"/>
    <n v="40"/>
    <n v="320"/>
    <n v="0.09"/>
    <n v="28.799999999999997"/>
    <x v="8"/>
  </r>
  <r>
    <s v="Order-628"/>
    <x v="26"/>
    <x v="3"/>
    <x v="0"/>
    <n v="7"/>
    <n v="16"/>
    <n v="112"/>
    <n v="0.02"/>
    <n v="2.2400000000000002"/>
    <x v="9"/>
  </r>
  <r>
    <s v="Order-629"/>
    <x v="26"/>
    <x v="4"/>
    <x v="3"/>
    <n v="15"/>
    <n v="150"/>
    <n v="2250"/>
    <n v="0.08"/>
    <n v="180"/>
    <x v="6"/>
  </r>
  <r>
    <s v="Order-630"/>
    <x v="26"/>
    <x v="2"/>
    <x v="4"/>
    <n v="20"/>
    <n v="230"/>
    <n v="4600"/>
    <n v="0.11"/>
    <n v="506"/>
    <x v="7"/>
  </r>
  <r>
    <s v="Order-631"/>
    <x v="26"/>
    <x v="3"/>
    <x v="1"/>
    <n v="4"/>
    <n v="16"/>
    <n v="64"/>
    <n v="0.09"/>
    <n v="5.76"/>
    <x v="8"/>
  </r>
  <r>
    <s v="Order-632"/>
    <x v="26"/>
    <x v="1"/>
    <x v="3"/>
    <n v="11"/>
    <n v="40"/>
    <n v="440"/>
    <n v="0.09"/>
    <n v="39.6"/>
    <x v="9"/>
  </r>
  <r>
    <s v="Order-633"/>
    <x v="26"/>
    <x v="4"/>
    <x v="2"/>
    <n v="15"/>
    <n v="150"/>
    <n v="2250"/>
    <n v="0.05"/>
    <n v="112.5"/>
    <x v="6"/>
  </r>
  <r>
    <s v="Order-634"/>
    <x v="26"/>
    <x v="2"/>
    <x v="2"/>
    <n v="5"/>
    <n v="230"/>
    <n v="1150"/>
    <n v="0.01"/>
    <n v="11.5"/>
    <x v="7"/>
  </r>
  <r>
    <s v="Order-635"/>
    <x v="26"/>
    <x v="2"/>
    <x v="2"/>
    <n v="14"/>
    <n v="230"/>
    <n v="3220"/>
    <n v="0.03"/>
    <n v="96.6"/>
    <x v="8"/>
  </r>
  <r>
    <s v="Order-636"/>
    <x v="26"/>
    <x v="1"/>
    <x v="4"/>
    <n v="23"/>
    <n v="40"/>
    <n v="920"/>
    <n v="0.05"/>
    <n v="46"/>
    <x v="9"/>
  </r>
  <r>
    <s v="Order-637"/>
    <x v="26"/>
    <x v="0"/>
    <x v="3"/>
    <n v="22"/>
    <n v="80"/>
    <n v="1760"/>
    <n v="0.03"/>
    <n v="52.8"/>
    <x v="6"/>
  </r>
  <r>
    <s v="Order-638"/>
    <x v="27"/>
    <x v="2"/>
    <x v="2"/>
    <n v="20"/>
    <n v="230"/>
    <n v="4600"/>
    <n v="0.06"/>
    <n v="276"/>
    <x v="7"/>
  </r>
  <r>
    <s v="Order-639"/>
    <x v="27"/>
    <x v="2"/>
    <x v="1"/>
    <n v="15"/>
    <n v="230"/>
    <n v="3450"/>
    <n v="0.09"/>
    <n v="310.5"/>
    <x v="8"/>
  </r>
  <r>
    <s v="Order-640"/>
    <x v="27"/>
    <x v="4"/>
    <x v="2"/>
    <n v="18"/>
    <n v="150"/>
    <n v="2700"/>
    <n v="0.06"/>
    <n v="162"/>
    <x v="9"/>
  </r>
  <r>
    <s v="Order-641"/>
    <x v="27"/>
    <x v="2"/>
    <x v="0"/>
    <n v="3"/>
    <n v="230"/>
    <n v="690"/>
    <n v="0.11"/>
    <n v="75.900000000000006"/>
    <x v="6"/>
  </r>
  <r>
    <s v="Order-642"/>
    <x v="27"/>
    <x v="4"/>
    <x v="4"/>
    <n v="11"/>
    <n v="150"/>
    <n v="1650"/>
    <n v="0.09"/>
    <n v="148.5"/>
    <x v="7"/>
  </r>
  <r>
    <s v="Order-643"/>
    <x v="27"/>
    <x v="2"/>
    <x v="0"/>
    <n v="11"/>
    <n v="230"/>
    <n v="2530"/>
    <n v="0.02"/>
    <n v="50.6"/>
    <x v="8"/>
  </r>
  <r>
    <s v="Order-644"/>
    <x v="27"/>
    <x v="2"/>
    <x v="4"/>
    <n v="13"/>
    <n v="230"/>
    <n v="2990"/>
    <n v="0.06"/>
    <n v="179.4"/>
    <x v="9"/>
  </r>
  <r>
    <s v="Order-645"/>
    <x v="28"/>
    <x v="0"/>
    <x v="3"/>
    <n v="11"/>
    <n v="80"/>
    <n v="880"/>
    <n v="0.01"/>
    <n v="8.8000000000000007"/>
    <x v="6"/>
  </r>
  <r>
    <s v="Order-646"/>
    <x v="28"/>
    <x v="0"/>
    <x v="4"/>
    <n v="17"/>
    <n v="80"/>
    <n v="1360"/>
    <n v="7.0000000000000007E-2"/>
    <n v="95.2"/>
    <x v="7"/>
  </r>
  <r>
    <s v="Order-647"/>
    <x v="28"/>
    <x v="4"/>
    <x v="4"/>
    <n v="15"/>
    <n v="150"/>
    <n v="2250"/>
    <n v="7.0000000000000007E-2"/>
    <n v="157.50000000000003"/>
    <x v="8"/>
  </r>
  <r>
    <s v="Order-648"/>
    <x v="28"/>
    <x v="3"/>
    <x v="4"/>
    <n v="14"/>
    <n v="16"/>
    <n v="224"/>
    <n v="0.06"/>
    <n v="13.44"/>
    <x v="9"/>
  </r>
  <r>
    <s v="Order-649"/>
    <x v="28"/>
    <x v="3"/>
    <x v="1"/>
    <n v="4"/>
    <n v="16"/>
    <n v="64"/>
    <n v="7.0000000000000007E-2"/>
    <n v="4.4800000000000004"/>
    <x v="6"/>
  </r>
  <r>
    <s v="Order-650"/>
    <x v="28"/>
    <x v="4"/>
    <x v="4"/>
    <n v="23"/>
    <n v="150"/>
    <n v="3450"/>
    <n v="0.08"/>
    <n v="276"/>
    <x v="7"/>
  </r>
  <r>
    <s v="Order-651"/>
    <x v="28"/>
    <x v="0"/>
    <x v="2"/>
    <n v="10"/>
    <n v="80"/>
    <n v="800"/>
    <n v="0.11"/>
    <n v="88"/>
    <x v="8"/>
  </r>
  <r>
    <s v="Order-652"/>
    <x v="28"/>
    <x v="2"/>
    <x v="2"/>
    <n v="7"/>
    <n v="230"/>
    <n v="1610"/>
    <n v="0.01"/>
    <n v="16.100000000000001"/>
    <x v="9"/>
  </r>
  <r>
    <s v="Order-653"/>
    <x v="28"/>
    <x v="2"/>
    <x v="0"/>
    <n v="16"/>
    <n v="230"/>
    <n v="3680"/>
    <n v="7.0000000000000007E-2"/>
    <n v="257.60000000000002"/>
    <x v="6"/>
  </r>
  <r>
    <s v="Order-654"/>
    <x v="28"/>
    <x v="3"/>
    <x v="4"/>
    <n v="17"/>
    <n v="16"/>
    <n v="272"/>
    <n v="0.08"/>
    <n v="21.76"/>
    <x v="7"/>
  </r>
  <r>
    <s v="Order-655"/>
    <x v="29"/>
    <x v="0"/>
    <x v="4"/>
    <n v="6"/>
    <n v="80"/>
    <n v="480"/>
    <n v="0.09"/>
    <n v="43.199999999999996"/>
    <x v="8"/>
  </r>
  <r>
    <s v="Order-656"/>
    <x v="29"/>
    <x v="4"/>
    <x v="2"/>
    <n v="22"/>
    <n v="150"/>
    <n v="3300"/>
    <n v="0.04"/>
    <n v="132"/>
    <x v="9"/>
  </r>
  <r>
    <s v="Order-657"/>
    <x v="29"/>
    <x v="1"/>
    <x v="4"/>
    <n v="20"/>
    <n v="40"/>
    <n v="800"/>
    <n v="0.03"/>
    <n v="24"/>
    <x v="6"/>
  </r>
  <r>
    <s v="Order-658"/>
    <x v="29"/>
    <x v="4"/>
    <x v="1"/>
    <n v="16"/>
    <n v="150"/>
    <n v="2400"/>
    <n v="0.08"/>
    <n v="192"/>
    <x v="7"/>
  </r>
  <r>
    <s v="Order-659"/>
    <x v="29"/>
    <x v="0"/>
    <x v="1"/>
    <n v="5"/>
    <n v="80"/>
    <n v="400"/>
    <n v="7.0000000000000007E-2"/>
    <n v="28.000000000000004"/>
    <x v="8"/>
  </r>
  <r>
    <s v="Order-660"/>
    <x v="29"/>
    <x v="4"/>
    <x v="3"/>
    <n v="6"/>
    <n v="150"/>
    <n v="900"/>
    <n v="0.03"/>
    <n v="27"/>
    <x v="9"/>
  </r>
  <r>
    <s v="Order-661"/>
    <x v="30"/>
    <x v="0"/>
    <x v="1"/>
    <n v="9"/>
    <n v="80"/>
    <n v="720"/>
    <n v="0.03"/>
    <n v="21.599999999999998"/>
    <x v="6"/>
  </r>
  <r>
    <s v="Order-662"/>
    <x v="30"/>
    <x v="0"/>
    <x v="0"/>
    <n v="8"/>
    <n v="80"/>
    <n v="640"/>
    <n v="0.08"/>
    <n v="51.2"/>
    <x v="7"/>
  </r>
  <r>
    <s v="Order-663"/>
    <x v="30"/>
    <x v="2"/>
    <x v="3"/>
    <n v="8"/>
    <n v="230"/>
    <n v="1840"/>
    <n v="0.01"/>
    <n v="18.400000000000002"/>
    <x v="8"/>
  </r>
  <r>
    <s v="Order-664"/>
    <x v="30"/>
    <x v="3"/>
    <x v="4"/>
    <n v="12"/>
    <n v="16"/>
    <n v="192"/>
    <n v="0.04"/>
    <n v="7.68"/>
    <x v="9"/>
  </r>
  <r>
    <s v="Order-665"/>
    <x v="30"/>
    <x v="3"/>
    <x v="3"/>
    <n v="18"/>
    <n v="16"/>
    <n v="288"/>
    <n v="0.04"/>
    <n v="11.52"/>
    <x v="6"/>
  </r>
  <r>
    <s v="Order-666"/>
    <x v="0"/>
    <x v="3"/>
    <x v="3"/>
    <n v="10"/>
    <n v="16"/>
    <n v="160"/>
    <n v="0.01"/>
    <n v="1.6"/>
    <x v="7"/>
  </r>
  <r>
    <s v="Order-667"/>
    <x v="0"/>
    <x v="3"/>
    <x v="3"/>
    <n v="14"/>
    <n v="16"/>
    <n v="224"/>
    <n v="0.12"/>
    <n v="26.88"/>
    <x v="8"/>
  </r>
  <r>
    <s v="Order-668"/>
    <x v="0"/>
    <x v="1"/>
    <x v="2"/>
    <n v="6"/>
    <n v="40"/>
    <n v="240"/>
    <n v="0.06"/>
    <n v="14.399999999999999"/>
    <x v="9"/>
  </r>
  <r>
    <s v="Order-669"/>
    <x v="0"/>
    <x v="1"/>
    <x v="3"/>
    <n v="13"/>
    <n v="40"/>
    <n v="520"/>
    <n v="0.09"/>
    <n v="46.8"/>
    <x v="6"/>
  </r>
  <r>
    <s v="Order-670"/>
    <x v="0"/>
    <x v="3"/>
    <x v="3"/>
    <n v="10"/>
    <n v="16"/>
    <n v="160"/>
    <n v="0.04"/>
    <n v="6.4"/>
    <x v="7"/>
  </r>
  <r>
    <s v="Order-671"/>
    <x v="0"/>
    <x v="0"/>
    <x v="1"/>
    <n v="14"/>
    <n v="80"/>
    <n v="1120"/>
    <n v="0.11"/>
    <n v="123.2"/>
    <x v="8"/>
  </r>
  <r>
    <s v="Order-672"/>
    <x v="0"/>
    <x v="1"/>
    <x v="1"/>
    <n v="4"/>
    <n v="40"/>
    <n v="160"/>
    <n v="0.06"/>
    <n v="9.6"/>
    <x v="9"/>
  </r>
  <r>
    <s v="Order-673"/>
    <x v="0"/>
    <x v="1"/>
    <x v="2"/>
    <n v="11"/>
    <n v="40"/>
    <n v="440"/>
    <n v="0.05"/>
    <n v="22"/>
    <x v="6"/>
  </r>
  <r>
    <s v="Order-674"/>
    <x v="0"/>
    <x v="3"/>
    <x v="2"/>
    <n v="14"/>
    <n v="16"/>
    <n v="224"/>
    <n v="0.01"/>
    <n v="2.2400000000000002"/>
    <x v="7"/>
  </r>
  <r>
    <s v="Order-675"/>
    <x v="0"/>
    <x v="4"/>
    <x v="0"/>
    <n v="20"/>
    <n v="150"/>
    <n v="3000"/>
    <n v="0.04"/>
    <n v="120"/>
    <x v="8"/>
  </r>
  <r>
    <s v="Order-676"/>
    <x v="0"/>
    <x v="1"/>
    <x v="3"/>
    <n v="9"/>
    <n v="40"/>
    <n v="360"/>
    <n v="0.06"/>
    <n v="21.599999999999998"/>
    <x v="9"/>
  </r>
  <r>
    <s v="Order-677"/>
    <x v="0"/>
    <x v="4"/>
    <x v="2"/>
    <n v="18"/>
    <n v="150"/>
    <n v="2700"/>
    <n v="0.06"/>
    <n v="162"/>
    <x v="6"/>
  </r>
  <r>
    <s v="Order-678"/>
    <x v="0"/>
    <x v="2"/>
    <x v="4"/>
    <n v="17"/>
    <n v="230"/>
    <n v="3910"/>
    <n v="0.11"/>
    <n v="430.1"/>
    <x v="7"/>
  </r>
  <r>
    <s v="Order-679"/>
    <x v="1"/>
    <x v="1"/>
    <x v="0"/>
    <n v="20"/>
    <n v="40"/>
    <n v="800"/>
    <n v="0.04"/>
    <n v="32"/>
    <x v="8"/>
  </r>
  <r>
    <s v="Order-680"/>
    <x v="1"/>
    <x v="1"/>
    <x v="0"/>
    <n v="23"/>
    <n v="40"/>
    <n v="920"/>
    <n v="0.03"/>
    <n v="27.599999999999998"/>
    <x v="9"/>
  </r>
  <r>
    <s v="Order-681"/>
    <x v="1"/>
    <x v="2"/>
    <x v="4"/>
    <n v="21"/>
    <n v="230"/>
    <n v="4830"/>
    <n v="0.05"/>
    <n v="241.5"/>
    <x v="6"/>
  </r>
  <r>
    <s v="Order-682"/>
    <x v="1"/>
    <x v="0"/>
    <x v="2"/>
    <n v="6"/>
    <n v="80"/>
    <n v="480"/>
    <n v="0.09"/>
    <n v="43.199999999999996"/>
    <x v="7"/>
  </r>
  <r>
    <s v="Order-683"/>
    <x v="1"/>
    <x v="3"/>
    <x v="0"/>
    <n v="20"/>
    <n v="16"/>
    <n v="320"/>
    <n v="0.01"/>
    <n v="3.2"/>
    <x v="8"/>
  </r>
  <r>
    <s v="Order-684"/>
    <x v="1"/>
    <x v="1"/>
    <x v="1"/>
    <n v="8"/>
    <n v="40"/>
    <n v="320"/>
    <n v="0.09"/>
    <n v="28.799999999999997"/>
    <x v="9"/>
  </r>
  <r>
    <s v="Order-685"/>
    <x v="1"/>
    <x v="2"/>
    <x v="1"/>
    <n v="15"/>
    <n v="230"/>
    <n v="3450"/>
    <n v="0.09"/>
    <n v="310.5"/>
    <x v="6"/>
  </r>
  <r>
    <s v="Order-686"/>
    <x v="2"/>
    <x v="0"/>
    <x v="3"/>
    <n v="21"/>
    <n v="80"/>
    <n v="1680"/>
    <n v="0.02"/>
    <n v="33.6"/>
    <x v="7"/>
  </r>
  <r>
    <s v="Order-687"/>
    <x v="2"/>
    <x v="0"/>
    <x v="3"/>
    <n v="19"/>
    <n v="80"/>
    <n v="1520"/>
    <n v="0.02"/>
    <n v="30.400000000000002"/>
    <x v="8"/>
  </r>
  <r>
    <s v="Order-688"/>
    <x v="2"/>
    <x v="3"/>
    <x v="0"/>
    <n v="7"/>
    <n v="16"/>
    <n v="112"/>
    <n v="0.08"/>
    <n v="8.9600000000000009"/>
    <x v="9"/>
  </r>
  <r>
    <s v="Order-689"/>
    <x v="2"/>
    <x v="1"/>
    <x v="4"/>
    <n v="11"/>
    <n v="40"/>
    <n v="440"/>
    <n v="0.05"/>
    <n v="22"/>
    <x v="6"/>
  </r>
  <r>
    <s v="Order-690"/>
    <x v="2"/>
    <x v="2"/>
    <x v="3"/>
    <n v="8"/>
    <n v="230"/>
    <n v="1840"/>
    <n v="0.05"/>
    <n v="92"/>
    <x v="7"/>
  </r>
  <r>
    <s v="Order-691"/>
    <x v="2"/>
    <x v="0"/>
    <x v="0"/>
    <n v="18"/>
    <n v="80"/>
    <n v="1440"/>
    <n v="0.02"/>
    <n v="28.8"/>
    <x v="8"/>
  </r>
  <r>
    <s v="Order-692"/>
    <x v="2"/>
    <x v="1"/>
    <x v="0"/>
    <n v="7"/>
    <n v="40"/>
    <n v="280"/>
    <n v="0.1"/>
    <n v="28"/>
    <x v="9"/>
  </r>
  <r>
    <s v="Order-693"/>
    <x v="3"/>
    <x v="3"/>
    <x v="0"/>
    <n v="16"/>
    <n v="16"/>
    <n v="256"/>
    <n v="0.03"/>
    <n v="7.68"/>
    <x v="6"/>
  </r>
  <r>
    <s v="Order-694"/>
    <x v="3"/>
    <x v="0"/>
    <x v="0"/>
    <n v="8"/>
    <n v="80"/>
    <n v="640"/>
    <n v="0.08"/>
    <n v="51.2"/>
    <x v="7"/>
  </r>
  <r>
    <s v="Order-695"/>
    <x v="3"/>
    <x v="2"/>
    <x v="4"/>
    <n v="22"/>
    <n v="230"/>
    <n v="5060"/>
    <n v="0.1"/>
    <n v="506"/>
    <x v="8"/>
  </r>
  <r>
    <s v="Order-696"/>
    <x v="3"/>
    <x v="2"/>
    <x v="4"/>
    <n v="3"/>
    <n v="230"/>
    <n v="690"/>
    <n v="0.1"/>
    <n v="69"/>
    <x v="9"/>
  </r>
  <r>
    <s v="Order-697"/>
    <x v="3"/>
    <x v="2"/>
    <x v="4"/>
    <n v="20"/>
    <n v="230"/>
    <n v="4600"/>
    <n v="0.11"/>
    <n v="506"/>
    <x v="6"/>
  </r>
  <r>
    <s v="Order-698"/>
    <x v="3"/>
    <x v="3"/>
    <x v="2"/>
    <n v="12"/>
    <n v="16"/>
    <n v="192"/>
    <n v="0.03"/>
    <n v="5.76"/>
    <x v="7"/>
  </r>
  <r>
    <s v="Order-699"/>
    <x v="3"/>
    <x v="1"/>
    <x v="4"/>
    <n v="20"/>
    <n v="40"/>
    <n v="800"/>
    <n v="7.0000000000000007E-2"/>
    <n v="56.000000000000007"/>
    <x v="8"/>
  </r>
  <r>
    <s v="Order-700"/>
    <x v="3"/>
    <x v="2"/>
    <x v="0"/>
    <n v="3"/>
    <n v="230"/>
    <n v="690"/>
    <n v="0.06"/>
    <n v="41.4"/>
    <x v="9"/>
  </r>
  <r>
    <s v="Order-701"/>
    <x v="3"/>
    <x v="0"/>
    <x v="3"/>
    <n v="16"/>
    <n v="80"/>
    <n v="1280"/>
    <n v="7.0000000000000007E-2"/>
    <n v="89.600000000000009"/>
    <x v="6"/>
  </r>
  <r>
    <s v="Order-702"/>
    <x v="4"/>
    <x v="1"/>
    <x v="4"/>
    <n v="3"/>
    <n v="40"/>
    <n v="120"/>
    <n v="0.03"/>
    <n v="3.5999999999999996"/>
    <x v="7"/>
  </r>
  <r>
    <s v="Order-703"/>
    <x v="4"/>
    <x v="2"/>
    <x v="2"/>
    <n v="12"/>
    <n v="230"/>
    <n v="2760"/>
    <n v="0.03"/>
    <n v="82.8"/>
    <x v="8"/>
  </r>
  <r>
    <s v="Order-704"/>
    <x v="4"/>
    <x v="1"/>
    <x v="3"/>
    <n v="22"/>
    <n v="40"/>
    <n v="880"/>
    <n v="0.01"/>
    <n v="8.8000000000000007"/>
    <x v="9"/>
  </r>
  <r>
    <s v="Order-705"/>
    <x v="4"/>
    <x v="1"/>
    <x v="1"/>
    <n v="19"/>
    <n v="40"/>
    <n v="760"/>
    <n v="0.1"/>
    <n v="76"/>
    <x v="6"/>
  </r>
  <r>
    <s v="Order-706"/>
    <x v="4"/>
    <x v="0"/>
    <x v="1"/>
    <n v="21"/>
    <n v="80"/>
    <n v="1680"/>
    <n v="0.04"/>
    <n v="67.2"/>
    <x v="7"/>
  </r>
  <r>
    <s v="Order-707"/>
    <x v="4"/>
    <x v="0"/>
    <x v="1"/>
    <n v="2"/>
    <n v="80"/>
    <n v="160"/>
    <n v="0.04"/>
    <n v="6.4"/>
    <x v="8"/>
  </r>
  <r>
    <s v="Order-708"/>
    <x v="4"/>
    <x v="4"/>
    <x v="1"/>
    <n v="15"/>
    <n v="150"/>
    <n v="2250"/>
    <n v="0.02"/>
    <n v="45"/>
    <x v="9"/>
  </r>
  <r>
    <s v="Order-709"/>
    <x v="5"/>
    <x v="1"/>
    <x v="1"/>
    <n v="14"/>
    <n v="40"/>
    <n v="560"/>
    <n v="0.06"/>
    <n v="33.6"/>
    <x v="6"/>
  </r>
  <r>
    <s v="Order-710"/>
    <x v="5"/>
    <x v="0"/>
    <x v="3"/>
    <n v="7"/>
    <n v="80"/>
    <n v="560"/>
    <n v="7.0000000000000007E-2"/>
    <n v="39.200000000000003"/>
    <x v="7"/>
  </r>
  <r>
    <s v="Order-711"/>
    <x v="5"/>
    <x v="0"/>
    <x v="2"/>
    <n v="7"/>
    <n v="80"/>
    <n v="560"/>
    <n v="0.05"/>
    <n v="28"/>
    <x v="8"/>
  </r>
  <r>
    <s v="Order-712"/>
    <x v="5"/>
    <x v="4"/>
    <x v="1"/>
    <n v="10"/>
    <n v="150"/>
    <n v="1500"/>
    <n v="0.01"/>
    <n v="15"/>
    <x v="9"/>
  </r>
  <r>
    <s v="Order-713"/>
    <x v="5"/>
    <x v="0"/>
    <x v="2"/>
    <n v="10"/>
    <n v="80"/>
    <n v="800"/>
    <n v="0.08"/>
    <n v="64"/>
    <x v="6"/>
  </r>
  <r>
    <s v="Order-714"/>
    <x v="5"/>
    <x v="0"/>
    <x v="3"/>
    <n v="15"/>
    <n v="80"/>
    <n v="1200"/>
    <n v="0.08"/>
    <n v="96"/>
    <x v="7"/>
  </r>
  <r>
    <s v="Order-715"/>
    <x v="5"/>
    <x v="2"/>
    <x v="3"/>
    <n v="18"/>
    <n v="230"/>
    <n v="4140"/>
    <n v="0.01"/>
    <n v="41.4"/>
    <x v="8"/>
  </r>
  <r>
    <s v="Order-716"/>
    <x v="5"/>
    <x v="0"/>
    <x v="0"/>
    <n v="8"/>
    <n v="80"/>
    <n v="640"/>
    <n v="0.09"/>
    <n v="57.599999999999994"/>
    <x v="9"/>
  </r>
  <r>
    <s v="Order-717"/>
    <x v="5"/>
    <x v="3"/>
    <x v="2"/>
    <n v="6"/>
    <n v="16"/>
    <n v="96"/>
    <n v="0.01"/>
    <n v="0.96"/>
    <x v="6"/>
  </r>
  <r>
    <s v="Order-718"/>
    <x v="5"/>
    <x v="2"/>
    <x v="1"/>
    <n v="9"/>
    <n v="230"/>
    <n v="2070"/>
    <n v="0.03"/>
    <n v="62.099999999999994"/>
    <x v="7"/>
  </r>
  <r>
    <s v="Order-719"/>
    <x v="6"/>
    <x v="1"/>
    <x v="3"/>
    <n v="15"/>
    <n v="40"/>
    <n v="600"/>
    <n v="0.03"/>
    <n v="18"/>
    <x v="8"/>
  </r>
  <r>
    <s v="Order-720"/>
    <x v="6"/>
    <x v="1"/>
    <x v="1"/>
    <n v="15"/>
    <n v="40"/>
    <n v="600"/>
    <n v="0.04"/>
    <n v="24"/>
    <x v="9"/>
  </r>
  <r>
    <s v="Order-721"/>
    <x v="6"/>
    <x v="3"/>
    <x v="4"/>
    <n v="11"/>
    <n v="16"/>
    <n v="176"/>
    <n v="0.12"/>
    <n v="21.119999999999997"/>
    <x v="6"/>
  </r>
  <r>
    <s v="Order-722"/>
    <x v="6"/>
    <x v="3"/>
    <x v="0"/>
    <n v="12"/>
    <n v="16"/>
    <n v="192"/>
    <n v="0.11"/>
    <n v="21.12"/>
    <x v="2"/>
  </r>
  <r>
    <s v="Order-723"/>
    <x v="6"/>
    <x v="3"/>
    <x v="3"/>
    <n v="18"/>
    <n v="16"/>
    <n v="288"/>
    <n v="0.04"/>
    <n v="11.52"/>
    <x v="8"/>
  </r>
  <r>
    <s v="Order-724"/>
    <x v="6"/>
    <x v="1"/>
    <x v="2"/>
    <n v="20"/>
    <n v="40"/>
    <n v="800"/>
    <n v="0.01"/>
    <n v="8"/>
    <x v="2"/>
  </r>
  <r>
    <s v="Order-725"/>
    <x v="6"/>
    <x v="4"/>
    <x v="4"/>
    <n v="7"/>
    <n v="150"/>
    <n v="1050"/>
    <n v="0.03"/>
    <n v="31.5"/>
    <x v="8"/>
  </r>
  <r>
    <s v="Order-726"/>
    <x v="6"/>
    <x v="1"/>
    <x v="3"/>
    <n v="23"/>
    <n v="40"/>
    <n v="920"/>
    <n v="0.06"/>
    <n v="55.199999999999996"/>
    <x v="2"/>
  </r>
  <r>
    <s v="Order-727"/>
    <x v="6"/>
    <x v="0"/>
    <x v="0"/>
    <n v="7"/>
    <n v="80"/>
    <n v="560"/>
    <n v="0.02"/>
    <n v="11.200000000000001"/>
    <x v="8"/>
  </r>
  <r>
    <s v="Order-728"/>
    <x v="6"/>
    <x v="4"/>
    <x v="1"/>
    <n v="16"/>
    <n v="150"/>
    <n v="2400"/>
    <n v="0.05"/>
    <n v="120"/>
    <x v="2"/>
  </r>
  <r>
    <s v="Order-729"/>
    <x v="6"/>
    <x v="2"/>
    <x v="1"/>
    <n v="6"/>
    <n v="230"/>
    <n v="1380"/>
    <n v="0.1"/>
    <n v="138"/>
    <x v="8"/>
  </r>
  <r>
    <s v="Order-730"/>
    <x v="7"/>
    <x v="1"/>
    <x v="4"/>
    <n v="7"/>
    <n v="40"/>
    <n v="280"/>
    <n v="0.12"/>
    <n v="33.6"/>
    <x v="2"/>
  </r>
  <r>
    <s v="Order-731"/>
    <x v="7"/>
    <x v="0"/>
    <x v="2"/>
    <n v="23"/>
    <n v="80"/>
    <n v="1840"/>
    <n v="0.05"/>
    <n v="92"/>
    <x v="8"/>
  </r>
  <r>
    <s v="Order-732"/>
    <x v="7"/>
    <x v="0"/>
    <x v="3"/>
    <n v="16"/>
    <n v="80"/>
    <n v="1280"/>
    <n v="0.1"/>
    <n v="128"/>
    <x v="2"/>
  </r>
  <r>
    <s v="Order-733"/>
    <x v="7"/>
    <x v="0"/>
    <x v="0"/>
    <n v="16"/>
    <n v="80"/>
    <n v="1280"/>
    <n v="0.03"/>
    <n v="38.4"/>
    <x v="8"/>
  </r>
  <r>
    <s v="Order-734"/>
    <x v="7"/>
    <x v="0"/>
    <x v="4"/>
    <n v="22"/>
    <n v="80"/>
    <n v="1760"/>
    <n v="0.09"/>
    <n v="158.4"/>
    <x v="2"/>
  </r>
  <r>
    <s v="Order-735"/>
    <x v="7"/>
    <x v="3"/>
    <x v="0"/>
    <n v="18"/>
    <n v="16"/>
    <n v="288"/>
    <n v="0.05"/>
    <n v="14.4"/>
    <x v="8"/>
  </r>
  <r>
    <s v="Order-736"/>
    <x v="7"/>
    <x v="2"/>
    <x v="4"/>
    <n v="5"/>
    <n v="230"/>
    <n v="1150"/>
    <n v="0.12"/>
    <n v="138"/>
    <x v="2"/>
  </r>
  <r>
    <s v="Order-737"/>
    <x v="7"/>
    <x v="4"/>
    <x v="4"/>
    <n v="7"/>
    <n v="150"/>
    <n v="1050"/>
    <n v="0.02"/>
    <n v="21"/>
    <x v="8"/>
  </r>
  <r>
    <s v="Order-738"/>
    <x v="7"/>
    <x v="1"/>
    <x v="2"/>
    <n v="2"/>
    <n v="40"/>
    <n v="80"/>
    <n v="0.03"/>
    <n v="2.4"/>
    <x v="2"/>
  </r>
  <r>
    <s v="Order-739"/>
    <x v="7"/>
    <x v="1"/>
    <x v="3"/>
    <n v="11"/>
    <n v="40"/>
    <n v="440"/>
    <n v="0.06"/>
    <n v="26.4"/>
    <x v="8"/>
  </r>
  <r>
    <s v="Order-740"/>
    <x v="7"/>
    <x v="0"/>
    <x v="3"/>
    <n v="7"/>
    <n v="80"/>
    <n v="560"/>
    <n v="0.02"/>
    <n v="11.200000000000001"/>
    <x v="2"/>
  </r>
  <r>
    <s v="Order-741"/>
    <x v="8"/>
    <x v="1"/>
    <x v="2"/>
    <n v="4"/>
    <n v="40"/>
    <n v="160"/>
    <n v="0.11"/>
    <n v="17.600000000000001"/>
    <x v="8"/>
  </r>
  <r>
    <s v="Order-742"/>
    <x v="8"/>
    <x v="1"/>
    <x v="2"/>
    <n v="2"/>
    <n v="40"/>
    <n v="80"/>
    <n v="0.02"/>
    <n v="1.6"/>
    <x v="2"/>
  </r>
  <r>
    <s v="Order-743"/>
    <x v="8"/>
    <x v="2"/>
    <x v="3"/>
    <n v="23"/>
    <n v="230"/>
    <n v="5290"/>
    <n v="0.06"/>
    <n v="317.39999999999998"/>
    <x v="8"/>
  </r>
  <r>
    <s v="Order-744"/>
    <x v="8"/>
    <x v="0"/>
    <x v="4"/>
    <n v="21"/>
    <n v="80"/>
    <n v="1680"/>
    <n v="0.09"/>
    <n v="151.19999999999999"/>
    <x v="2"/>
  </r>
  <r>
    <s v="Order-745"/>
    <x v="8"/>
    <x v="0"/>
    <x v="4"/>
    <n v="9"/>
    <n v="80"/>
    <n v="720"/>
    <n v="0.06"/>
    <n v="43.199999999999996"/>
    <x v="8"/>
  </r>
  <r>
    <s v="Order-746"/>
    <x v="8"/>
    <x v="0"/>
    <x v="4"/>
    <n v="22"/>
    <n v="80"/>
    <n v="1760"/>
    <n v="0.11"/>
    <n v="193.6"/>
    <x v="2"/>
  </r>
  <r>
    <s v="Order-747"/>
    <x v="9"/>
    <x v="2"/>
    <x v="2"/>
    <n v="15"/>
    <n v="230"/>
    <n v="3450"/>
    <n v="0.11"/>
    <n v="379.5"/>
    <x v="8"/>
  </r>
  <r>
    <s v="Order-748"/>
    <x v="9"/>
    <x v="1"/>
    <x v="1"/>
    <n v="7"/>
    <n v="40"/>
    <n v="280"/>
    <n v="0.01"/>
    <n v="2.8000000000000003"/>
    <x v="2"/>
  </r>
  <r>
    <s v="Order-749"/>
    <x v="9"/>
    <x v="4"/>
    <x v="4"/>
    <n v="17"/>
    <n v="150"/>
    <n v="2550"/>
    <n v="0.02"/>
    <n v="51"/>
    <x v="8"/>
  </r>
  <r>
    <s v="Order-750"/>
    <x v="9"/>
    <x v="4"/>
    <x v="1"/>
    <n v="22"/>
    <n v="150"/>
    <n v="3300"/>
    <n v="0.02"/>
    <n v="66"/>
    <x v="2"/>
  </r>
  <r>
    <s v="Order-751"/>
    <x v="9"/>
    <x v="2"/>
    <x v="2"/>
    <n v="10"/>
    <n v="230"/>
    <n v="2300"/>
    <n v="0.02"/>
    <n v="46"/>
    <x v="8"/>
  </r>
  <r>
    <s v="Order-752"/>
    <x v="9"/>
    <x v="1"/>
    <x v="4"/>
    <n v="21"/>
    <n v="40"/>
    <n v="840"/>
    <n v="0.01"/>
    <n v="8.4"/>
    <x v="2"/>
  </r>
  <r>
    <s v="Order-753"/>
    <x v="9"/>
    <x v="2"/>
    <x v="2"/>
    <n v="5"/>
    <n v="230"/>
    <n v="1150"/>
    <n v="0.1"/>
    <n v="115"/>
    <x v="8"/>
  </r>
  <r>
    <s v="Order-754"/>
    <x v="9"/>
    <x v="2"/>
    <x v="4"/>
    <n v="13"/>
    <n v="230"/>
    <n v="2990"/>
    <n v="0.06"/>
    <n v="179.4"/>
    <x v="2"/>
  </r>
  <r>
    <s v="Order-755"/>
    <x v="9"/>
    <x v="4"/>
    <x v="0"/>
    <n v="23"/>
    <n v="150"/>
    <n v="3450"/>
    <n v="0.1"/>
    <n v="345"/>
    <x v="8"/>
  </r>
  <r>
    <s v="Order-756"/>
    <x v="9"/>
    <x v="4"/>
    <x v="0"/>
    <n v="20"/>
    <n v="150"/>
    <n v="3000"/>
    <n v="0.03"/>
    <n v="90"/>
    <x v="2"/>
  </r>
  <r>
    <s v="Order-757"/>
    <x v="10"/>
    <x v="2"/>
    <x v="0"/>
    <n v="3"/>
    <n v="230"/>
    <n v="690"/>
    <n v="0.11"/>
    <n v="75.900000000000006"/>
    <x v="8"/>
  </r>
  <r>
    <s v="Order-758"/>
    <x v="10"/>
    <x v="4"/>
    <x v="1"/>
    <n v="16"/>
    <n v="150"/>
    <n v="2400"/>
    <n v="0.08"/>
    <n v="192"/>
    <x v="2"/>
  </r>
  <r>
    <s v="Order-759"/>
    <x v="10"/>
    <x v="3"/>
    <x v="4"/>
    <n v="14"/>
    <n v="16"/>
    <n v="224"/>
    <n v="0.06"/>
    <n v="13.44"/>
    <x v="8"/>
  </r>
  <r>
    <s v="Order-760"/>
    <x v="10"/>
    <x v="4"/>
    <x v="1"/>
    <n v="16"/>
    <n v="150"/>
    <n v="2400"/>
    <n v="0.03"/>
    <n v="72"/>
    <x v="2"/>
  </r>
  <r>
    <s v="Order-761"/>
    <x v="10"/>
    <x v="3"/>
    <x v="4"/>
    <n v="19"/>
    <n v="16"/>
    <n v="304"/>
    <n v="0.02"/>
    <n v="6.08"/>
    <x v="8"/>
  </r>
  <r>
    <s v="Order-762"/>
    <x v="10"/>
    <x v="0"/>
    <x v="4"/>
    <n v="6"/>
    <n v="80"/>
    <n v="480"/>
    <n v="0.09"/>
    <n v="43.199999999999996"/>
    <x v="2"/>
  </r>
  <r>
    <s v="Order-763"/>
    <x v="10"/>
    <x v="0"/>
    <x v="4"/>
    <n v="9"/>
    <n v="80"/>
    <n v="720"/>
    <n v="7.0000000000000007E-2"/>
    <n v="50.400000000000006"/>
    <x v="8"/>
  </r>
  <r>
    <s v="Order-764"/>
    <x v="10"/>
    <x v="4"/>
    <x v="1"/>
    <n v="20"/>
    <n v="150"/>
    <n v="3000"/>
    <n v="0.09"/>
    <n v="270"/>
    <x v="2"/>
  </r>
  <r>
    <s v="Order-765"/>
    <x v="10"/>
    <x v="0"/>
    <x v="2"/>
    <n v="10"/>
    <n v="80"/>
    <n v="800"/>
    <n v="0.11"/>
    <n v="88"/>
    <x v="8"/>
  </r>
  <r>
    <s v="Order-766"/>
    <x v="10"/>
    <x v="3"/>
    <x v="0"/>
    <n v="4"/>
    <n v="16"/>
    <n v="64"/>
    <n v="0.12"/>
    <n v="7.68"/>
    <x v="2"/>
  </r>
  <r>
    <s v="Order-767"/>
    <x v="10"/>
    <x v="1"/>
    <x v="4"/>
    <n v="16"/>
    <n v="40"/>
    <n v="640"/>
    <n v="0.11"/>
    <n v="70.400000000000006"/>
    <x v="8"/>
  </r>
  <r>
    <s v="Order-768"/>
    <x v="11"/>
    <x v="0"/>
    <x v="1"/>
    <n v="5"/>
    <n v="80"/>
    <n v="400"/>
    <n v="0.04"/>
    <n v="16"/>
    <x v="2"/>
  </r>
  <r>
    <s v="Order-769"/>
    <x v="11"/>
    <x v="3"/>
    <x v="2"/>
    <n v="11"/>
    <n v="16"/>
    <n v="176"/>
    <n v="0.04"/>
    <n v="7.04"/>
    <x v="8"/>
  </r>
  <r>
    <s v="Order-770"/>
    <x v="11"/>
    <x v="4"/>
    <x v="0"/>
    <n v="17"/>
    <n v="150"/>
    <n v="2550"/>
    <n v="0.12"/>
    <n v="306"/>
    <x v="2"/>
  </r>
  <r>
    <s v="Order-771"/>
    <x v="11"/>
    <x v="2"/>
    <x v="1"/>
    <n v="19"/>
    <n v="230"/>
    <n v="4370"/>
    <n v="0.11"/>
    <n v="480.7"/>
    <x v="8"/>
  </r>
  <r>
    <s v="Order-772"/>
    <x v="11"/>
    <x v="0"/>
    <x v="0"/>
    <n v="21"/>
    <n v="80"/>
    <n v="1680"/>
    <n v="0.04"/>
    <n v="67.2"/>
    <x v="2"/>
  </r>
  <r>
    <s v="Order-773"/>
    <x v="11"/>
    <x v="2"/>
    <x v="1"/>
    <n v="7"/>
    <n v="230"/>
    <n v="1610"/>
    <n v="0.01"/>
    <n v="16.100000000000001"/>
    <x v="8"/>
  </r>
  <r>
    <s v="Order-774"/>
    <x v="11"/>
    <x v="1"/>
    <x v="2"/>
    <n v="2"/>
    <n v="40"/>
    <n v="80"/>
    <n v="0.03"/>
    <n v="2.4"/>
    <x v="2"/>
  </r>
  <r>
    <s v="Order-775"/>
    <x v="11"/>
    <x v="4"/>
    <x v="0"/>
    <n v="7"/>
    <n v="150"/>
    <n v="1050"/>
    <n v="0.02"/>
    <n v="21"/>
    <x v="8"/>
  </r>
  <r>
    <s v="Order-776"/>
    <x v="12"/>
    <x v="0"/>
    <x v="2"/>
    <n v="16"/>
    <n v="80"/>
    <n v="1280"/>
    <n v="0.04"/>
    <n v="51.2"/>
    <x v="2"/>
  </r>
  <r>
    <s v="Order-777"/>
    <x v="12"/>
    <x v="1"/>
    <x v="1"/>
    <n v="4"/>
    <n v="40"/>
    <n v="160"/>
    <n v="0.12"/>
    <n v="19.2"/>
    <x v="8"/>
  </r>
  <r>
    <s v="Order-778"/>
    <x v="12"/>
    <x v="3"/>
    <x v="0"/>
    <n v="22"/>
    <n v="16"/>
    <n v="352"/>
    <n v="0.01"/>
    <n v="3.52"/>
    <x v="2"/>
  </r>
  <r>
    <s v="Order-779"/>
    <x v="12"/>
    <x v="1"/>
    <x v="3"/>
    <n v="18"/>
    <n v="40"/>
    <n v="720"/>
    <n v="0.06"/>
    <n v="43.199999999999996"/>
    <x v="8"/>
  </r>
  <r>
    <s v="Order-780"/>
    <x v="12"/>
    <x v="0"/>
    <x v="2"/>
    <n v="6"/>
    <n v="80"/>
    <n v="480"/>
    <n v="0.01"/>
    <n v="4.8"/>
    <x v="2"/>
  </r>
  <r>
    <s v="Order-781"/>
    <x v="12"/>
    <x v="2"/>
    <x v="2"/>
    <n v="2"/>
    <n v="230"/>
    <n v="460"/>
    <n v="0.09"/>
    <n v="41.4"/>
    <x v="8"/>
  </r>
  <r>
    <s v="Order-782"/>
    <x v="13"/>
    <x v="4"/>
    <x v="4"/>
    <n v="11"/>
    <n v="150"/>
    <n v="1650"/>
    <n v="0.09"/>
    <n v="148.5"/>
    <x v="2"/>
  </r>
  <r>
    <s v="Order-783"/>
    <x v="13"/>
    <x v="4"/>
    <x v="3"/>
    <n v="15"/>
    <n v="150"/>
    <n v="2250"/>
    <n v="0.08"/>
    <n v="180"/>
    <x v="8"/>
  </r>
  <r>
    <s v="Order-784"/>
    <x v="13"/>
    <x v="0"/>
    <x v="0"/>
    <n v="17"/>
    <n v="80"/>
    <n v="1360"/>
    <n v="0.09"/>
    <n v="122.39999999999999"/>
    <x v="2"/>
  </r>
  <r>
    <s v="Order-785"/>
    <x v="13"/>
    <x v="4"/>
    <x v="4"/>
    <n v="13"/>
    <n v="150"/>
    <n v="1950"/>
    <n v="0.11"/>
    <n v="214.5"/>
    <x v="8"/>
  </r>
  <r>
    <s v="Order-786"/>
    <x v="13"/>
    <x v="1"/>
    <x v="3"/>
    <n v="7"/>
    <n v="40"/>
    <n v="280"/>
    <n v="7.0000000000000007E-2"/>
    <n v="19.600000000000001"/>
    <x v="2"/>
  </r>
  <r>
    <s v="Order-787"/>
    <x v="13"/>
    <x v="2"/>
    <x v="3"/>
    <n v="3"/>
    <n v="230"/>
    <n v="690"/>
    <n v="0.01"/>
    <n v="6.9"/>
    <x v="8"/>
  </r>
  <r>
    <s v="Order-788"/>
    <x v="13"/>
    <x v="1"/>
    <x v="2"/>
    <n v="12"/>
    <n v="40"/>
    <n v="480"/>
    <n v="0.02"/>
    <n v="9.6"/>
    <x v="2"/>
  </r>
  <r>
    <s v="Order-789"/>
    <x v="13"/>
    <x v="4"/>
    <x v="2"/>
    <n v="11"/>
    <n v="150"/>
    <n v="1650"/>
    <n v="0.11"/>
    <n v="181.5"/>
    <x v="8"/>
  </r>
  <r>
    <s v="Order-790"/>
    <x v="13"/>
    <x v="1"/>
    <x v="1"/>
    <n v="21"/>
    <n v="40"/>
    <n v="840"/>
    <n v="0.03"/>
    <n v="25.2"/>
    <x v="2"/>
  </r>
  <r>
    <s v="Order-791"/>
    <x v="13"/>
    <x v="4"/>
    <x v="0"/>
    <n v="22"/>
    <n v="150"/>
    <n v="3300"/>
    <n v="7.0000000000000007E-2"/>
    <n v="231.00000000000003"/>
    <x v="8"/>
  </r>
  <r>
    <s v="Order-792"/>
    <x v="13"/>
    <x v="1"/>
    <x v="2"/>
    <n v="20"/>
    <n v="40"/>
    <n v="800"/>
    <n v="0.01"/>
    <n v="8"/>
    <x v="2"/>
  </r>
  <r>
    <s v="Order-793"/>
    <x v="14"/>
    <x v="3"/>
    <x v="4"/>
    <n v="22"/>
    <n v="16"/>
    <n v="352"/>
    <n v="0.12"/>
    <n v="42.239999999999995"/>
    <x v="8"/>
  </r>
  <r>
    <s v="Order-794"/>
    <x v="14"/>
    <x v="1"/>
    <x v="2"/>
    <n v="4"/>
    <n v="40"/>
    <n v="160"/>
    <n v="0.1"/>
    <n v="16"/>
    <x v="2"/>
  </r>
  <r>
    <s v="Order-795"/>
    <x v="14"/>
    <x v="2"/>
    <x v="3"/>
    <n v="2"/>
    <n v="230"/>
    <n v="460"/>
    <n v="0.09"/>
    <n v="41.4"/>
    <x v="8"/>
  </r>
  <r>
    <s v="Order-796"/>
    <x v="14"/>
    <x v="1"/>
    <x v="0"/>
    <n v="22"/>
    <n v="40"/>
    <n v="880"/>
    <n v="0.02"/>
    <n v="17.600000000000001"/>
    <x v="2"/>
  </r>
  <r>
    <s v="Order-797"/>
    <x v="14"/>
    <x v="1"/>
    <x v="1"/>
    <n v="4"/>
    <n v="40"/>
    <n v="160"/>
    <n v="0.03"/>
    <n v="4.8"/>
    <x v="8"/>
  </r>
  <r>
    <s v="Order-798"/>
    <x v="14"/>
    <x v="3"/>
    <x v="1"/>
    <n v="5"/>
    <n v="16"/>
    <n v="80"/>
    <n v="0.11"/>
    <n v="8.8000000000000007"/>
    <x v="2"/>
  </r>
  <r>
    <s v="Order-799"/>
    <x v="14"/>
    <x v="0"/>
    <x v="3"/>
    <n v="2"/>
    <n v="80"/>
    <n v="160"/>
    <n v="0.08"/>
    <n v="12.8"/>
    <x v="8"/>
  </r>
  <r>
    <s v="Order-800"/>
    <x v="14"/>
    <x v="3"/>
    <x v="2"/>
    <n v="9"/>
    <n v="16"/>
    <n v="144"/>
    <n v="0.05"/>
    <n v="7.2"/>
    <x v="2"/>
  </r>
  <r>
    <s v="Order-801"/>
    <x v="14"/>
    <x v="2"/>
    <x v="2"/>
    <n v="6"/>
    <n v="230"/>
    <n v="1380"/>
    <n v="0.05"/>
    <n v="69"/>
    <x v="8"/>
  </r>
  <r>
    <s v="Order-802"/>
    <x v="14"/>
    <x v="4"/>
    <x v="3"/>
    <n v="22"/>
    <n v="150"/>
    <n v="3300"/>
    <n v="0.05"/>
    <n v="165"/>
    <x v="2"/>
  </r>
  <r>
    <s v="Order-803"/>
    <x v="15"/>
    <x v="2"/>
    <x v="3"/>
    <n v="8"/>
    <n v="230"/>
    <n v="1840"/>
    <n v="0.01"/>
    <n v="18.400000000000002"/>
    <x v="8"/>
  </r>
  <r>
    <s v="Order-804"/>
    <x v="15"/>
    <x v="4"/>
    <x v="0"/>
    <n v="22"/>
    <n v="150"/>
    <n v="3300"/>
    <n v="0.05"/>
    <n v="165"/>
    <x v="2"/>
  </r>
  <r>
    <s v="Order-805"/>
    <x v="15"/>
    <x v="1"/>
    <x v="0"/>
    <n v="5"/>
    <n v="40"/>
    <n v="200"/>
    <n v="0.06"/>
    <n v="12"/>
    <x v="8"/>
  </r>
  <r>
    <s v="Order-806"/>
    <x v="15"/>
    <x v="4"/>
    <x v="3"/>
    <n v="20"/>
    <n v="150"/>
    <n v="3000"/>
    <n v="0.1"/>
    <n v="300"/>
    <x v="2"/>
  </r>
  <r>
    <s v="Order-807"/>
    <x v="15"/>
    <x v="0"/>
    <x v="3"/>
    <n v="22"/>
    <n v="80"/>
    <n v="1760"/>
    <n v="0.03"/>
    <n v="52.8"/>
    <x v="8"/>
  </r>
  <r>
    <s v="Order-808"/>
    <x v="15"/>
    <x v="3"/>
    <x v="0"/>
    <n v="11"/>
    <n v="16"/>
    <n v="176"/>
    <n v="0.09"/>
    <n v="15.84"/>
    <x v="2"/>
  </r>
  <r>
    <s v="Order-809"/>
    <x v="15"/>
    <x v="3"/>
    <x v="1"/>
    <n v="22"/>
    <n v="16"/>
    <n v="352"/>
    <n v="0.01"/>
    <n v="3.52"/>
    <x v="8"/>
  </r>
  <r>
    <s v="Order-810"/>
    <x v="15"/>
    <x v="1"/>
    <x v="1"/>
    <n v="23"/>
    <n v="40"/>
    <n v="920"/>
    <n v="0.06"/>
    <n v="55.199999999999996"/>
    <x v="2"/>
  </r>
  <r>
    <s v="Order-811"/>
    <x v="15"/>
    <x v="0"/>
    <x v="2"/>
    <n v="14"/>
    <n v="80"/>
    <n v="1120"/>
    <n v="0.1"/>
    <n v="112"/>
    <x v="8"/>
  </r>
  <r>
    <s v="Order-812"/>
    <x v="15"/>
    <x v="1"/>
    <x v="0"/>
    <n v="18"/>
    <n v="40"/>
    <n v="720"/>
    <n v="0.06"/>
    <n v="43.199999999999996"/>
    <x v="2"/>
  </r>
  <r>
    <s v="Order-813"/>
    <x v="16"/>
    <x v="4"/>
    <x v="3"/>
    <n v="7"/>
    <n v="150"/>
    <n v="1050"/>
    <n v="0.05"/>
    <n v="52.5"/>
    <x v="1"/>
  </r>
  <r>
    <s v="Order-814"/>
    <x v="16"/>
    <x v="1"/>
    <x v="3"/>
    <n v="15"/>
    <n v="40"/>
    <n v="600"/>
    <n v="0.03"/>
    <n v="18"/>
    <x v="2"/>
  </r>
  <r>
    <s v="Order-815"/>
    <x v="16"/>
    <x v="3"/>
    <x v="0"/>
    <n v="7"/>
    <n v="16"/>
    <n v="112"/>
    <n v="0.02"/>
    <n v="2.2400000000000002"/>
    <x v="3"/>
  </r>
  <r>
    <s v="Order-816"/>
    <x v="16"/>
    <x v="3"/>
    <x v="3"/>
    <n v="15"/>
    <n v="16"/>
    <n v="240"/>
    <n v="0.12"/>
    <n v="28.799999999999997"/>
    <x v="4"/>
  </r>
  <r>
    <s v="Order-817"/>
    <x v="16"/>
    <x v="1"/>
    <x v="0"/>
    <n v="5"/>
    <n v="40"/>
    <n v="200"/>
    <n v="0.09"/>
    <n v="18"/>
    <x v="5"/>
  </r>
  <r>
    <s v="Order-818"/>
    <x v="16"/>
    <x v="1"/>
    <x v="4"/>
    <n v="20"/>
    <n v="40"/>
    <n v="800"/>
    <n v="0.03"/>
    <n v="24"/>
    <x v="6"/>
  </r>
  <r>
    <s v="Order-819"/>
    <x v="16"/>
    <x v="2"/>
    <x v="3"/>
    <n v="11"/>
    <n v="230"/>
    <n v="2530"/>
    <n v="0.12"/>
    <n v="303.59999999999997"/>
    <x v="7"/>
  </r>
  <r>
    <s v="Order-820"/>
    <x v="16"/>
    <x v="3"/>
    <x v="4"/>
    <n v="17"/>
    <n v="16"/>
    <n v="272"/>
    <n v="0.08"/>
    <n v="21.76"/>
    <x v="8"/>
  </r>
  <r>
    <s v="Order-821"/>
    <x v="17"/>
    <x v="3"/>
    <x v="0"/>
    <n v="18"/>
    <n v="16"/>
    <n v="288"/>
    <n v="0.11"/>
    <n v="31.68"/>
    <x v="9"/>
  </r>
  <r>
    <s v="Order-822"/>
    <x v="17"/>
    <x v="2"/>
    <x v="3"/>
    <n v="2"/>
    <n v="230"/>
    <n v="460"/>
    <n v="0.08"/>
    <n v="36.800000000000004"/>
    <x v="10"/>
  </r>
  <r>
    <s v="Order-823"/>
    <x v="17"/>
    <x v="3"/>
    <x v="2"/>
    <n v="17"/>
    <n v="16"/>
    <n v="272"/>
    <n v="0.05"/>
    <n v="13.600000000000001"/>
    <x v="11"/>
  </r>
  <r>
    <s v="Order-824"/>
    <x v="17"/>
    <x v="0"/>
    <x v="3"/>
    <n v="16"/>
    <n v="80"/>
    <n v="1280"/>
    <n v="0.05"/>
    <n v="64"/>
    <x v="0"/>
  </r>
  <r>
    <s v="Order-825"/>
    <x v="17"/>
    <x v="2"/>
    <x v="1"/>
    <n v="14"/>
    <n v="230"/>
    <n v="3220"/>
    <n v="0.05"/>
    <n v="161"/>
    <x v="1"/>
  </r>
  <r>
    <s v="Order-826"/>
    <x v="17"/>
    <x v="1"/>
    <x v="2"/>
    <n v="13"/>
    <n v="40"/>
    <n v="520"/>
    <n v="0.02"/>
    <n v="10.4"/>
    <x v="2"/>
  </r>
  <r>
    <s v="Order-827"/>
    <x v="17"/>
    <x v="2"/>
    <x v="1"/>
    <n v="7"/>
    <n v="230"/>
    <n v="1610"/>
    <n v="0.08"/>
    <n v="128.80000000000001"/>
    <x v="3"/>
  </r>
  <r>
    <s v="Order-828"/>
    <x v="17"/>
    <x v="1"/>
    <x v="3"/>
    <n v="7"/>
    <n v="40"/>
    <n v="280"/>
    <n v="0.11"/>
    <n v="30.8"/>
    <x v="4"/>
  </r>
  <r>
    <s v="Order-829"/>
    <x v="17"/>
    <x v="2"/>
    <x v="2"/>
    <n v="12"/>
    <n v="230"/>
    <n v="2760"/>
    <n v="0.06"/>
    <n v="165.6"/>
    <x v="5"/>
  </r>
  <r>
    <s v="Order-830"/>
    <x v="17"/>
    <x v="1"/>
    <x v="0"/>
    <n v="19"/>
    <n v="40"/>
    <n v="760"/>
    <n v="0.04"/>
    <n v="30.400000000000002"/>
    <x v="1"/>
  </r>
  <r>
    <s v="Order-831"/>
    <x v="18"/>
    <x v="2"/>
    <x v="2"/>
    <n v="20"/>
    <n v="230"/>
    <n v="4600"/>
    <n v="0.06"/>
    <n v="276"/>
    <x v="2"/>
  </r>
  <r>
    <s v="Order-832"/>
    <x v="18"/>
    <x v="1"/>
    <x v="4"/>
    <n v="23"/>
    <n v="40"/>
    <n v="920"/>
    <n v="0.04"/>
    <n v="36.800000000000004"/>
    <x v="3"/>
  </r>
  <r>
    <s v="Order-833"/>
    <x v="18"/>
    <x v="0"/>
    <x v="4"/>
    <n v="16"/>
    <n v="80"/>
    <n v="1280"/>
    <n v="0.05"/>
    <n v="64"/>
    <x v="4"/>
  </r>
  <r>
    <s v="Order-834"/>
    <x v="18"/>
    <x v="4"/>
    <x v="1"/>
    <n v="23"/>
    <n v="150"/>
    <n v="3450"/>
    <n v="0.11"/>
    <n v="379.5"/>
    <x v="5"/>
  </r>
  <r>
    <s v="Order-835"/>
    <x v="18"/>
    <x v="3"/>
    <x v="1"/>
    <n v="4"/>
    <n v="16"/>
    <n v="64"/>
    <n v="7.0000000000000007E-2"/>
    <n v="4.4800000000000004"/>
    <x v="6"/>
  </r>
  <r>
    <s v="Order-836"/>
    <x v="18"/>
    <x v="2"/>
    <x v="0"/>
    <n v="8"/>
    <n v="230"/>
    <n v="1840"/>
    <n v="0.03"/>
    <n v="55.199999999999996"/>
    <x v="7"/>
  </r>
  <r>
    <s v="Order-837"/>
    <x v="18"/>
    <x v="0"/>
    <x v="1"/>
    <n v="17"/>
    <n v="80"/>
    <n v="1360"/>
    <n v="0.03"/>
    <n v="40.799999999999997"/>
    <x v="8"/>
  </r>
  <r>
    <s v="Order-838"/>
    <x v="18"/>
    <x v="0"/>
    <x v="3"/>
    <n v="10"/>
    <n v="80"/>
    <n v="800"/>
    <n v="0.1"/>
    <n v="80"/>
    <x v="9"/>
  </r>
  <r>
    <s v="Order-839"/>
    <x v="18"/>
    <x v="3"/>
    <x v="0"/>
    <n v="20"/>
    <n v="16"/>
    <n v="320"/>
    <n v="0.11"/>
    <n v="35.200000000000003"/>
    <x v="10"/>
  </r>
  <r>
    <s v="Order-840"/>
    <x v="19"/>
    <x v="2"/>
    <x v="3"/>
    <n v="19"/>
    <n v="230"/>
    <n v="4370"/>
    <n v="0.06"/>
    <n v="262.2"/>
    <x v="11"/>
  </r>
  <r>
    <s v="Order-841"/>
    <x v="19"/>
    <x v="1"/>
    <x v="2"/>
    <n v="18"/>
    <n v="40"/>
    <n v="720"/>
    <n v="0.03"/>
    <n v="21.599999999999998"/>
    <x v="0"/>
  </r>
  <r>
    <s v="Order-842"/>
    <x v="19"/>
    <x v="0"/>
    <x v="1"/>
    <n v="16"/>
    <n v="80"/>
    <n v="1280"/>
    <n v="0.04"/>
    <n v="51.2"/>
    <x v="1"/>
  </r>
  <r>
    <s v="Order-843"/>
    <x v="19"/>
    <x v="0"/>
    <x v="3"/>
    <n v="8"/>
    <n v="80"/>
    <n v="640"/>
    <n v="0.06"/>
    <n v="38.4"/>
    <x v="2"/>
  </r>
  <r>
    <s v="Order-844"/>
    <x v="19"/>
    <x v="4"/>
    <x v="3"/>
    <n v="4"/>
    <n v="150"/>
    <n v="600"/>
    <n v="0.12"/>
    <n v="72"/>
    <x v="3"/>
  </r>
  <r>
    <s v="Order-845"/>
    <x v="19"/>
    <x v="2"/>
    <x v="2"/>
    <n v="15"/>
    <n v="230"/>
    <n v="3450"/>
    <n v="0.04"/>
    <n v="138"/>
    <x v="4"/>
  </r>
  <r>
    <s v="Order-846"/>
    <x v="20"/>
    <x v="3"/>
    <x v="1"/>
    <n v="7"/>
    <n v="16"/>
    <n v="112"/>
    <n v="0.08"/>
    <n v="8.9600000000000009"/>
    <x v="5"/>
  </r>
  <r>
    <s v="Order-847"/>
    <x v="20"/>
    <x v="1"/>
    <x v="0"/>
    <n v="18"/>
    <n v="40"/>
    <n v="720"/>
    <n v="0.11"/>
    <n v="79.2"/>
    <x v="1"/>
  </r>
  <r>
    <s v="Order-848"/>
    <x v="20"/>
    <x v="1"/>
    <x v="2"/>
    <n v="4"/>
    <n v="40"/>
    <n v="160"/>
    <n v="0.06"/>
    <n v="9.6"/>
    <x v="2"/>
  </r>
  <r>
    <s v="Order-849"/>
    <x v="20"/>
    <x v="1"/>
    <x v="4"/>
    <n v="16"/>
    <n v="40"/>
    <n v="640"/>
    <n v="0.09"/>
    <n v="57.599999999999994"/>
    <x v="3"/>
  </r>
  <r>
    <s v="Order-850"/>
    <x v="20"/>
    <x v="1"/>
    <x v="1"/>
    <n v="18"/>
    <n v="40"/>
    <n v="720"/>
    <n v="0.08"/>
    <n v="57.6"/>
    <x v="4"/>
  </r>
  <r>
    <s v="Order-851"/>
    <x v="20"/>
    <x v="1"/>
    <x v="0"/>
    <n v="9"/>
    <n v="40"/>
    <n v="360"/>
    <n v="0.01"/>
    <n v="3.6"/>
    <x v="5"/>
  </r>
  <r>
    <s v="Order-852"/>
    <x v="20"/>
    <x v="2"/>
    <x v="3"/>
    <n v="16"/>
    <n v="230"/>
    <n v="3680"/>
    <n v="0.11"/>
    <n v="404.8"/>
    <x v="6"/>
  </r>
  <r>
    <s v="Order-853"/>
    <x v="20"/>
    <x v="3"/>
    <x v="2"/>
    <n v="12"/>
    <n v="16"/>
    <n v="192"/>
    <n v="0.11"/>
    <n v="21.12"/>
    <x v="7"/>
  </r>
  <r>
    <s v="Order-854"/>
    <x v="20"/>
    <x v="0"/>
    <x v="1"/>
    <n v="2"/>
    <n v="80"/>
    <n v="160"/>
    <n v="7.0000000000000007E-2"/>
    <n v="11.200000000000001"/>
    <x v="8"/>
  </r>
  <r>
    <s v="Order-855"/>
    <x v="20"/>
    <x v="1"/>
    <x v="0"/>
    <n v="2"/>
    <n v="40"/>
    <n v="80"/>
    <n v="0.12"/>
    <n v="9.6"/>
    <x v="9"/>
  </r>
  <r>
    <s v="Order-856"/>
    <x v="21"/>
    <x v="4"/>
    <x v="0"/>
    <n v="13"/>
    <n v="150"/>
    <n v="1950"/>
    <n v="0.05"/>
    <n v="97.5"/>
    <x v="10"/>
  </r>
  <r>
    <s v="Order-857"/>
    <x v="21"/>
    <x v="0"/>
    <x v="0"/>
    <n v="14"/>
    <n v="80"/>
    <n v="1120"/>
    <n v="0.08"/>
    <n v="89.600000000000009"/>
    <x v="11"/>
  </r>
  <r>
    <s v="Order-858"/>
    <x v="21"/>
    <x v="4"/>
    <x v="3"/>
    <n v="6"/>
    <n v="150"/>
    <n v="900"/>
    <n v="0.03"/>
    <n v="27"/>
    <x v="0"/>
  </r>
  <r>
    <s v="Order-859"/>
    <x v="21"/>
    <x v="0"/>
    <x v="3"/>
    <n v="23"/>
    <n v="80"/>
    <n v="1840"/>
    <n v="0.11"/>
    <n v="202.4"/>
    <x v="1"/>
  </r>
  <r>
    <s v="Order-860"/>
    <x v="21"/>
    <x v="0"/>
    <x v="3"/>
    <n v="21"/>
    <n v="80"/>
    <n v="1680"/>
    <n v="0.05"/>
    <n v="84"/>
    <x v="2"/>
  </r>
  <r>
    <s v="Order-861"/>
    <x v="21"/>
    <x v="3"/>
    <x v="2"/>
    <n v="3"/>
    <n v="16"/>
    <n v="48"/>
    <n v="0.05"/>
    <n v="2.4000000000000004"/>
    <x v="3"/>
  </r>
  <r>
    <s v="Order-862"/>
    <x v="21"/>
    <x v="3"/>
    <x v="1"/>
    <n v="21"/>
    <n v="16"/>
    <n v="336"/>
    <n v="0.02"/>
    <n v="6.72"/>
    <x v="4"/>
  </r>
  <r>
    <s v="Order-863"/>
    <x v="21"/>
    <x v="0"/>
    <x v="3"/>
    <n v="4"/>
    <n v="80"/>
    <n v="320"/>
    <n v="0.11"/>
    <n v="35.200000000000003"/>
    <x v="5"/>
  </r>
  <r>
    <s v="Order-864"/>
    <x v="21"/>
    <x v="4"/>
    <x v="4"/>
    <n v="23"/>
    <n v="150"/>
    <n v="3450"/>
    <n v="0.08"/>
    <n v="276"/>
    <x v="1"/>
  </r>
  <r>
    <s v="Order-865"/>
    <x v="21"/>
    <x v="3"/>
    <x v="4"/>
    <n v="23"/>
    <n v="16"/>
    <n v="368"/>
    <n v="0.01"/>
    <n v="3.68"/>
    <x v="2"/>
  </r>
  <r>
    <s v="Order-866"/>
    <x v="21"/>
    <x v="1"/>
    <x v="3"/>
    <n v="22"/>
    <n v="40"/>
    <n v="880"/>
    <n v="0.01"/>
    <n v="8.8000000000000007"/>
    <x v="3"/>
  </r>
  <r>
    <s v="Order-867"/>
    <x v="22"/>
    <x v="4"/>
    <x v="0"/>
    <n v="8"/>
    <n v="150"/>
    <n v="1200"/>
    <n v="0.09"/>
    <n v="108"/>
    <x v="4"/>
  </r>
  <r>
    <s v="Order-868"/>
    <x v="22"/>
    <x v="4"/>
    <x v="0"/>
    <n v="20"/>
    <n v="150"/>
    <n v="3000"/>
    <n v="0.01"/>
    <n v="30"/>
    <x v="5"/>
  </r>
  <r>
    <s v="Order-869"/>
    <x v="22"/>
    <x v="2"/>
    <x v="1"/>
    <n v="22"/>
    <n v="230"/>
    <n v="5060"/>
    <n v="0.11"/>
    <n v="556.6"/>
    <x v="6"/>
  </r>
  <r>
    <s v="Order-870"/>
    <x v="22"/>
    <x v="3"/>
    <x v="2"/>
    <n v="23"/>
    <n v="16"/>
    <n v="368"/>
    <n v="0.11"/>
    <n v="40.479999999999997"/>
    <x v="7"/>
  </r>
  <r>
    <s v="Order-871"/>
    <x v="22"/>
    <x v="0"/>
    <x v="0"/>
    <n v="6"/>
    <n v="80"/>
    <n v="480"/>
    <n v="0.01"/>
    <n v="4.8"/>
    <x v="8"/>
  </r>
  <r>
    <s v="Order-872"/>
    <x v="22"/>
    <x v="3"/>
    <x v="0"/>
    <n v="7"/>
    <n v="16"/>
    <n v="112"/>
    <n v="0.12"/>
    <n v="13.44"/>
    <x v="9"/>
  </r>
  <r>
    <s v="Order-873"/>
    <x v="22"/>
    <x v="0"/>
    <x v="1"/>
    <n v="10"/>
    <n v="80"/>
    <n v="800"/>
    <n v="0.11"/>
    <n v="88"/>
    <x v="10"/>
  </r>
  <r>
    <s v="Order-874"/>
    <x v="22"/>
    <x v="2"/>
    <x v="0"/>
    <n v="9"/>
    <n v="230"/>
    <n v="2070"/>
    <n v="7.0000000000000007E-2"/>
    <n v="144.9"/>
    <x v="11"/>
  </r>
  <r>
    <s v="Order-875"/>
    <x v="23"/>
    <x v="1"/>
    <x v="1"/>
    <n v="12"/>
    <n v="40"/>
    <n v="480"/>
    <n v="0.1"/>
    <n v="48"/>
    <x v="0"/>
  </r>
  <r>
    <s v="Order-876"/>
    <x v="23"/>
    <x v="3"/>
    <x v="4"/>
    <n v="17"/>
    <n v="16"/>
    <n v="272"/>
    <n v="0.1"/>
    <n v="27.200000000000003"/>
    <x v="1"/>
  </r>
  <r>
    <s v="Order-877"/>
    <x v="23"/>
    <x v="4"/>
    <x v="2"/>
    <n v="22"/>
    <n v="150"/>
    <n v="3300"/>
    <n v="0.04"/>
    <n v="132"/>
    <x v="2"/>
  </r>
  <r>
    <s v="Order-878"/>
    <x v="23"/>
    <x v="4"/>
    <x v="2"/>
    <n v="11"/>
    <n v="150"/>
    <n v="1650"/>
    <n v="0.05"/>
    <n v="82.5"/>
    <x v="3"/>
  </r>
  <r>
    <s v="Order-879"/>
    <x v="23"/>
    <x v="0"/>
    <x v="4"/>
    <n v="9"/>
    <n v="80"/>
    <n v="720"/>
    <n v="0.02"/>
    <n v="14.4"/>
    <x v="4"/>
  </r>
  <r>
    <s v="Order-880"/>
    <x v="23"/>
    <x v="0"/>
    <x v="4"/>
    <n v="13"/>
    <n v="80"/>
    <n v="1040"/>
    <n v="0.05"/>
    <n v="52"/>
    <x v="5"/>
  </r>
  <r>
    <s v="Order-881"/>
    <x v="23"/>
    <x v="1"/>
    <x v="4"/>
    <n v="20"/>
    <n v="40"/>
    <n v="800"/>
    <n v="0.1"/>
    <n v="80"/>
    <x v="1"/>
  </r>
  <r>
    <s v="Order-882"/>
    <x v="23"/>
    <x v="1"/>
    <x v="1"/>
    <n v="15"/>
    <n v="40"/>
    <n v="600"/>
    <n v="0.02"/>
    <n v="12"/>
    <x v="2"/>
  </r>
  <r>
    <s v="Order-883"/>
    <x v="24"/>
    <x v="4"/>
    <x v="4"/>
    <n v="15"/>
    <n v="150"/>
    <n v="2250"/>
    <n v="7.0000000000000007E-2"/>
    <n v="157.50000000000003"/>
    <x v="3"/>
  </r>
  <r>
    <s v="Order-884"/>
    <x v="24"/>
    <x v="0"/>
    <x v="4"/>
    <n v="16"/>
    <n v="80"/>
    <n v="1280"/>
    <n v="0.09"/>
    <n v="115.19999999999999"/>
    <x v="4"/>
  </r>
  <r>
    <s v="Order-885"/>
    <x v="24"/>
    <x v="2"/>
    <x v="0"/>
    <n v="16"/>
    <n v="230"/>
    <n v="3680"/>
    <n v="7.0000000000000007E-2"/>
    <n v="257.60000000000002"/>
    <x v="5"/>
  </r>
  <r>
    <s v="Order-886"/>
    <x v="24"/>
    <x v="0"/>
    <x v="1"/>
    <n v="14"/>
    <n v="80"/>
    <n v="1120"/>
    <n v="0.11"/>
    <n v="123.2"/>
    <x v="6"/>
  </r>
  <r>
    <s v="Order-887"/>
    <x v="24"/>
    <x v="0"/>
    <x v="4"/>
    <n v="17"/>
    <n v="80"/>
    <n v="1360"/>
    <n v="7.0000000000000007E-2"/>
    <n v="95.2"/>
    <x v="7"/>
  </r>
  <r>
    <s v="Order-888"/>
    <x v="24"/>
    <x v="0"/>
    <x v="2"/>
    <n v="16"/>
    <n v="80"/>
    <n v="1280"/>
    <n v="0.02"/>
    <n v="25.6"/>
    <x v="8"/>
  </r>
  <r>
    <s v="Order-889"/>
    <x v="24"/>
    <x v="3"/>
    <x v="0"/>
    <n v="21"/>
    <n v="16"/>
    <n v="336"/>
    <n v="0.09"/>
    <n v="30.24"/>
    <x v="9"/>
  </r>
  <r>
    <s v="Order-890"/>
    <x v="24"/>
    <x v="4"/>
    <x v="0"/>
    <n v="9"/>
    <n v="150"/>
    <n v="1350"/>
    <n v="0.1"/>
    <n v="135"/>
    <x v="10"/>
  </r>
  <r>
    <s v="Order-891"/>
    <x v="24"/>
    <x v="4"/>
    <x v="3"/>
    <n v="3"/>
    <n v="150"/>
    <n v="450"/>
    <n v="0.01"/>
    <n v="4.5"/>
    <x v="11"/>
  </r>
  <r>
    <s v="Order-892"/>
    <x v="25"/>
    <x v="0"/>
    <x v="1"/>
    <n v="14"/>
    <n v="80"/>
    <n v="1120"/>
    <n v="0.06"/>
    <n v="67.2"/>
    <x v="0"/>
  </r>
  <r>
    <s v="Order-893"/>
    <x v="25"/>
    <x v="4"/>
    <x v="4"/>
    <n v="4"/>
    <n v="150"/>
    <n v="600"/>
    <n v="0.05"/>
    <n v="30"/>
    <x v="1"/>
  </r>
  <r>
    <s v="Order-894"/>
    <x v="25"/>
    <x v="3"/>
    <x v="1"/>
    <n v="20"/>
    <n v="16"/>
    <n v="320"/>
    <n v="0.06"/>
    <n v="19.2"/>
    <x v="2"/>
  </r>
  <r>
    <s v="Order-895"/>
    <x v="25"/>
    <x v="2"/>
    <x v="2"/>
    <n v="7"/>
    <n v="230"/>
    <n v="1610"/>
    <n v="0.01"/>
    <n v="16.100000000000001"/>
    <x v="3"/>
  </r>
  <r>
    <s v="Order-896"/>
    <x v="25"/>
    <x v="0"/>
    <x v="1"/>
    <n v="9"/>
    <n v="80"/>
    <n v="720"/>
    <n v="0.03"/>
    <n v="21.599999999999998"/>
    <x v="4"/>
  </r>
  <r>
    <s v="Order-897"/>
    <x v="25"/>
    <x v="1"/>
    <x v="3"/>
    <n v="4"/>
    <n v="40"/>
    <n v="160"/>
    <n v="0.05"/>
    <n v="8"/>
    <x v="5"/>
  </r>
  <r>
    <s v="Order-898"/>
    <x v="25"/>
    <x v="0"/>
    <x v="0"/>
    <n v="6"/>
    <n v="80"/>
    <n v="480"/>
    <n v="7.0000000000000007E-2"/>
    <n v="33.6"/>
    <x v="1"/>
  </r>
  <r>
    <s v="Order-899"/>
    <x v="25"/>
    <x v="3"/>
    <x v="2"/>
    <n v="8"/>
    <n v="16"/>
    <n v="128"/>
    <n v="0.03"/>
    <n v="3.84"/>
    <x v="2"/>
  </r>
  <r>
    <s v="Order-900"/>
    <x v="25"/>
    <x v="3"/>
    <x v="0"/>
    <n v="10"/>
    <n v="16"/>
    <n v="160"/>
    <n v="0.08"/>
    <n v="12.8"/>
    <x v="3"/>
  </r>
  <r>
    <s v="Order-901"/>
    <x v="25"/>
    <x v="3"/>
    <x v="3"/>
    <n v="22"/>
    <n v="16"/>
    <n v="352"/>
    <n v="0.03"/>
    <n v="10.559999999999999"/>
    <x v="4"/>
  </r>
  <r>
    <s v="Order-902"/>
    <x v="25"/>
    <x v="0"/>
    <x v="3"/>
    <n v="11"/>
    <n v="80"/>
    <n v="880"/>
    <n v="0.01"/>
    <n v="8.8000000000000007"/>
    <x v="5"/>
  </r>
  <r>
    <s v="Order-903"/>
    <x v="25"/>
    <x v="3"/>
    <x v="3"/>
    <n v="7"/>
    <n v="16"/>
    <n v="112"/>
    <n v="0.08"/>
    <n v="8.9600000000000009"/>
    <x v="6"/>
  </r>
  <r>
    <s v="Order-904"/>
    <x v="26"/>
    <x v="3"/>
    <x v="2"/>
    <n v="11"/>
    <n v="16"/>
    <n v="176"/>
    <n v="0.12"/>
    <n v="21.119999999999997"/>
    <x v="7"/>
  </r>
  <r>
    <s v="Order-905"/>
    <x v="26"/>
    <x v="1"/>
    <x v="4"/>
    <n v="7"/>
    <n v="40"/>
    <n v="280"/>
    <n v="0.05"/>
    <n v="14"/>
    <x v="8"/>
  </r>
  <r>
    <s v="Order-906"/>
    <x v="26"/>
    <x v="4"/>
    <x v="2"/>
    <n v="9"/>
    <n v="150"/>
    <n v="1350"/>
    <n v="0.06"/>
    <n v="81"/>
    <x v="9"/>
  </r>
  <r>
    <s v="Order-907"/>
    <x v="26"/>
    <x v="2"/>
    <x v="0"/>
    <n v="20"/>
    <n v="230"/>
    <n v="4600"/>
    <n v="0.04"/>
    <n v="184"/>
    <x v="10"/>
  </r>
  <r>
    <s v="Order-908"/>
    <x v="26"/>
    <x v="4"/>
    <x v="2"/>
    <n v="9"/>
    <n v="150"/>
    <n v="1350"/>
    <n v="0.02"/>
    <n v="27"/>
    <x v="11"/>
  </r>
  <r>
    <s v="Order-909"/>
    <x v="26"/>
    <x v="0"/>
    <x v="1"/>
    <n v="5"/>
    <n v="80"/>
    <n v="400"/>
    <n v="7.0000000000000007E-2"/>
    <n v="28.000000000000004"/>
    <x v="0"/>
  </r>
  <r>
    <s v="Order-910"/>
    <x v="26"/>
    <x v="4"/>
    <x v="2"/>
    <n v="20"/>
    <n v="150"/>
    <n v="3000"/>
    <n v="0.04"/>
    <n v="120"/>
    <x v="1"/>
  </r>
  <r>
    <s v="Order-911"/>
    <x v="26"/>
    <x v="4"/>
    <x v="3"/>
    <n v="15"/>
    <n v="150"/>
    <n v="2250"/>
    <n v="0.05"/>
    <n v="112.5"/>
    <x v="2"/>
  </r>
  <r>
    <s v="Order-912"/>
    <x v="26"/>
    <x v="0"/>
    <x v="0"/>
    <n v="20"/>
    <n v="80"/>
    <n v="1600"/>
    <n v="0.01"/>
    <n v="16"/>
    <x v="3"/>
  </r>
  <r>
    <s v="Order-913"/>
    <x v="27"/>
    <x v="2"/>
    <x v="1"/>
    <n v="12"/>
    <n v="230"/>
    <n v="2760"/>
    <n v="0.03"/>
    <n v="82.8"/>
    <x v="4"/>
  </r>
  <r>
    <s v="Order-914"/>
    <x v="27"/>
    <x v="1"/>
    <x v="4"/>
    <n v="20"/>
    <n v="40"/>
    <n v="800"/>
    <n v="0.05"/>
    <n v="40"/>
    <x v="5"/>
  </r>
  <r>
    <s v="Order-915"/>
    <x v="27"/>
    <x v="1"/>
    <x v="4"/>
    <n v="4"/>
    <n v="40"/>
    <n v="160"/>
    <n v="0.09"/>
    <n v="14.399999999999999"/>
    <x v="1"/>
  </r>
  <r>
    <s v="Order-916"/>
    <x v="27"/>
    <x v="3"/>
    <x v="2"/>
    <n v="6"/>
    <n v="16"/>
    <n v="96"/>
    <n v="7.0000000000000007E-2"/>
    <n v="6.7200000000000006"/>
    <x v="2"/>
  </r>
  <r>
    <s v="Order-917"/>
    <x v="27"/>
    <x v="0"/>
    <x v="1"/>
    <n v="13"/>
    <n v="80"/>
    <n v="1040"/>
    <n v="0.06"/>
    <n v="62.4"/>
    <x v="3"/>
  </r>
  <r>
    <s v="Order-918"/>
    <x v="27"/>
    <x v="4"/>
    <x v="0"/>
    <n v="4"/>
    <n v="150"/>
    <n v="600"/>
    <n v="0.1"/>
    <n v="60"/>
    <x v="4"/>
  </r>
  <r>
    <s v="Order-919"/>
    <x v="27"/>
    <x v="4"/>
    <x v="3"/>
    <n v="9"/>
    <n v="150"/>
    <n v="1350"/>
    <n v="0.02"/>
    <n v="27"/>
    <x v="5"/>
  </r>
  <r>
    <s v="Order-920"/>
    <x v="27"/>
    <x v="4"/>
    <x v="0"/>
    <n v="11"/>
    <n v="150"/>
    <n v="1650"/>
    <n v="0.05"/>
    <n v="82.5"/>
    <x v="6"/>
  </r>
  <r>
    <s v="Order-921"/>
    <x v="27"/>
    <x v="3"/>
    <x v="2"/>
    <n v="6"/>
    <n v="16"/>
    <n v="96"/>
    <n v="0.06"/>
    <n v="5.76"/>
    <x v="7"/>
  </r>
  <r>
    <s v="Order-922"/>
    <x v="28"/>
    <x v="2"/>
    <x v="2"/>
    <n v="14"/>
    <n v="230"/>
    <n v="3220"/>
    <n v="0.12"/>
    <n v="386.4"/>
    <x v="8"/>
  </r>
  <r>
    <s v="Order-923"/>
    <x v="28"/>
    <x v="0"/>
    <x v="1"/>
    <n v="15"/>
    <n v="80"/>
    <n v="1200"/>
    <n v="0.12"/>
    <n v="144"/>
    <x v="9"/>
  </r>
  <r>
    <s v="Order-924"/>
    <x v="28"/>
    <x v="2"/>
    <x v="3"/>
    <n v="17"/>
    <n v="230"/>
    <n v="3910"/>
    <n v="0.12"/>
    <n v="469.2"/>
    <x v="10"/>
  </r>
  <r>
    <s v="Order-925"/>
    <x v="28"/>
    <x v="4"/>
    <x v="0"/>
    <n v="5"/>
    <n v="150"/>
    <n v="750"/>
    <n v="0.11"/>
    <n v="82.5"/>
    <x v="11"/>
  </r>
  <r>
    <s v="Order-926"/>
    <x v="28"/>
    <x v="0"/>
    <x v="4"/>
    <n v="10"/>
    <n v="80"/>
    <n v="800"/>
    <n v="0.06"/>
    <n v="48"/>
    <x v="0"/>
  </r>
  <r>
    <s v="Order-927"/>
    <x v="28"/>
    <x v="0"/>
    <x v="0"/>
    <n v="9"/>
    <n v="80"/>
    <n v="720"/>
    <n v="0.04"/>
    <n v="28.8"/>
    <x v="1"/>
  </r>
  <r>
    <s v="Order-928"/>
    <x v="28"/>
    <x v="1"/>
    <x v="4"/>
    <n v="16"/>
    <n v="40"/>
    <n v="640"/>
    <n v="0.09"/>
    <n v="57.599999999999994"/>
    <x v="2"/>
  </r>
  <r>
    <s v="Order-929"/>
    <x v="28"/>
    <x v="2"/>
    <x v="0"/>
    <n v="7"/>
    <n v="230"/>
    <n v="1610"/>
    <n v="0.08"/>
    <n v="128.80000000000001"/>
    <x v="3"/>
  </r>
  <r>
    <s v="Order-930"/>
    <x v="28"/>
    <x v="0"/>
    <x v="3"/>
    <n v="17"/>
    <n v="80"/>
    <n v="1360"/>
    <n v="0.05"/>
    <n v="68"/>
    <x v="4"/>
  </r>
  <r>
    <s v="Order-931"/>
    <x v="28"/>
    <x v="2"/>
    <x v="0"/>
    <n v="11"/>
    <n v="230"/>
    <n v="2530"/>
    <n v="0.02"/>
    <n v="50.6"/>
    <x v="5"/>
  </r>
  <r>
    <s v="Order-932"/>
    <x v="29"/>
    <x v="1"/>
    <x v="0"/>
    <n v="15"/>
    <n v="40"/>
    <n v="600"/>
    <n v="0.06"/>
    <n v="36"/>
    <x v="1"/>
  </r>
  <r>
    <s v="Order-933"/>
    <x v="30"/>
    <x v="2"/>
    <x v="0"/>
    <n v="7"/>
    <n v="230"/>
    <n v="1610"/>
    <n v="0.02"/>
    <n v="32.200000000000003"/>
    <x v="2"/>
  </r>
  <r>
    <s v="Order-934"/>
    <x v="30"/>
    <x v="0"/>
    <x v="2"/>
    <n v="20"/>
    <n v="80"/>
    <n v="1600"/>
    <n v="7.0000000000000007E-2"/>
    <n v="112.00000000000001"/>
    <x v="3"/>
  </r>
  <r>
    <s v="Order-935"/>
    <x v="30"/>
    <x v="0"/>
    <x v="1"/>
    <n v="3"/>
    <n v="80"/>
    <n v="240"/>
    <n v="0.02"/>
    <n v="4.8"/>
    <x v="4"/>
  </r>
  <r>
    <s v="Order-936"/>
    <x v="30"/>
    <x v="4"/>
    <x v="2"/>
    <n v="2"/>
    <n v="150"/>
    <n v="300"/>
    <n v="0.02"/>
    <n v="6"/>
    <x v="5"/>
  </r>
  <r>
    <s v="Order-937"/>
    <x v="30"/>
    <x v="4"/>
    <x v="2"/>
    <n v="22"/>
    <n v="150"/>
    <n v="3300"/>
    <n v="0.09"/>
    <n v="297"/>
    <x v="6"/>
  </r>
  <r>
    <s v="Order-938"/>
    <x v="30"/>
    <x v="2"/>
    <x v="0"/>
    <n v="5"/>
    <n v="230"/>
    <n v="1150"/>
    <n v="0.1"/>
    <n v="115"/>
    <x v="7"/>
  </r>
  <r>
    <s v="Order-939"/>
    <x v="30"/>
    <x v="3"/>
    <x v="4"/>
    <n v="12"/>
    <n v="16"/>
    <n v="192"/>
    <n v="0.04"/>
    <n v="7.68"/>
    <x v="8"/>
  </r>
  <r>
    <s v="Order-940"/>
    <x v="30"/>
    <x v="1"/>
    <x v="3"/>
    <n v="6"/>
    <n v="40"/>
    <n v="240"/>
    <n v="7.0000000000000007E-2"/>
    <n v="16.8"/>
    <x v="9"/>
  </r>
  <r>
    <s v="Order-941"/>
    <x v="30"/>
    <x v="3"/>
    <x v="4"/>
    <n v="15"/>
    <n v="16"/>
    <n v="240"/>
    <n v="0.01"/>
    <n v="2.4"/>
    <x v="10"/>
  </r>
  <r>
    <s v="Order-942"/>
    <x v="0"/>
    <x v="4"/>
    <x v="4"/>
    <n v="13"/>
    <n v="150"/>
    <n v="1950"/>
    <n v="0.11"/>
    <n v="214.5"/>
    <x v="11"/>
  </r>
  <r>
    <s v="Order-943"/>
    <x v="0"/>
    <x v="1"/>
    <x v="1"/>
    <n v="8"/>
    <n v="40"/>
    <n v="320"/>
    <n v="0.09"/>
    <n v="28.799999999999997"/>
    <x v="0"/>
  </r>
  <r>
    <s v="Order-944"/>
    <x v="0"/>
    <x v="1"/>
    <x v="3"/>
    <n v="7"/>
    <n v="40"/>
    <n v="280"/>
    <n v="7.0000000000000007E-2"/>
    <n v="19.600000000000001"/>
    <x v="1"/>
  </r>
  <r>
    <s v="Order-945"/>
    <x v="0"/>
    <x v="1"/>
    <x v="1"/>
    <n v="18"/>
    <n v="40"/>
    <n v="720"/>
    <n v="0.08"/>
    <n v="57.6"/>
    <x v="2"/>
  </r>
  <r>
    <s v="Order-946"/>
    <x v="0"/>
    <x v="2"/>
    <x v="3"/>
    <n v="19"/>
    <n v="230"/>
    <n v="4370"/>
    <n v="0.06"/>
    <n v="262.2"/>
    <x v="3"/>
  </r>
  <r>
    <s v="Order-947"/>
    <x v="0"/>
    <x v="4"/>
    <x v="0"/>
    <n v="4"/>
    <n v="150"/>
    <n v="600"/>
    <n v="0.1"/>
    <n v="60"/>
    <x v="4"/>
  </r>
  <r>
    <s v="Order-948"/>
    <x v="1"/>
    <x v="0"/>
    <x v="4"/>
    <n v="9"/>
    <n v="80"/>
    <n v="720"/>
    <n v="0.06"/>
    <n v="43.199999999999996"/>
    <x v="5"/>
  </r>
  <r>
    <s v="Order-949"/>
    <x v="1"/>
    <x v="0"/>
    <x v="2"/>
    <n v="16"/>
    <n v="80"/>
    <n v="1280"/>
    <n v="0.02"/>
    <n v="25.6"/>
    <x v="1"/>
  </r>
  <r>
    <s v="Order-950"/>
    <x v="1"/>
    <x v="2"/>
    <x v="1"/>
    <n v="15"/>
    <n v="230"/>
    <n v="3450"/>
    <n v="0.09"/>
    <n v="310.5"/>
    <x v="2"/>
  </r>
  <r>
    <s v="Order-951"/>
    <x v="1"/>
    <x v="3"/>
    <x v="4"/>
    <n v="15"/>
    <n v="16"/>
    <n v="240"/>
    <n v="0.01"/>
    <n v="2.4"/>
    <x v="3"/>
  </r>
  <r>
    <s v="Order-952"/>
    <x v="1"/>
    <x v="2"/>
    <x v="0"/>
    <n v="7"/>
    <n v="230"/>
    <n v="1610"/>
    <n v="0.02"/>
    <n v="32.200000000000003"/>
    <x v="4"/>
  </r>
  <r>
    <s v="Order-953"/>
    <x v="1"/>
    <x v="3"/>
    <x v="2"/>
    <n v="23"/>
    <n v="16"/>
    <n v="368"/>
    <n v="0.11"/>
    <n v="40.479999999999997"/>
    <x v="5"/>
  </r>
  <r>
    <s v="Order-954"/>
    <x v="1"/>
    <x v="1"/>
    <x v="4"/>
    <n v="20"/>
    <n v="40"/>
    <n v="800"/>
    <n v="0.05"/>
    <n v="40"/>
    <x v="6"/>
  </r>
  <r>
    <s v="Order-955"/>
    <x v="2"/>
    <x v="2"/>
    <x v="1"/>
    <n v="9"/>
    <n v="230"/>
    <n v="2070"/>
    <n v="0.03"/>
    <n v="62.099999999999994"/>
    <x v="7"/>
  </r>
  <r>
    <s v="Order-956"/>
    <x v="2"/>
    <x v="1"/>
    <x v="3"/>
    <n v="23"/>
    <n v="40"/>
    <n v="920"/>
    <n v="0.06"/>
    <n v="55.199999999999996"/>
    <x v="8"/>
  </r>
  <r>
    <s v="Order-957"/>
    <x v="2"/>
    <x v="1"/>
    <x v="3"/>
    <n v="4"/>
    <n v="40"/>
    <n v="160"/>
    <n v="0.05"/>
    <n v="8"/>
    <x v="9"/>
  </r>
  <r>
    <s v="Order-958"/>
    <x v="2"/>
    <x v="4"/>
    <x v="0"/>
    <n v="13"/>
    <n v="150"/>
    <n v="1950"/>
    <n v="0.05"/>
    <n v="97.5"/>
    <x v="10"/>
  </r>
  <r>
    <s v="Order-959"/>
    <x v="2"/>
    <x v="2"/>
    <x v="1"/>
    <n v="7"/>
    <n v="230"/>
    <n v="1610"/>
    <n v="0.01"/>
    <n v="16.100000000000001"/>
    <x v="11"/>
  </r>
  <r>
    <s v="Order-960"/>
    <x v="2"/>
    <x v="2"/>
    <x v="1"/>
    <n v="7"/>
    <n v="230"/>
    <n v="1610"/>
    <n v="0.08"/>
    <n v="128.80000000000001"/>
    <x v="0"/>
  </r>
  <r>
    <s v="Order-961"/>
    <x v="2"/>
    <x v="2"/>
    <x v="2"/>
    <n v="15"/>
    <n v="230"/>
    <n v="3450"/>
    <n v="0.04"/>
    <n v="138"/>
    <x v="1"/>
  </r>
  <r>
    <s v="Order-962"/>
    <x v="2"/>
    <x v="1"/>
    <x v="3"/>
    <n v="15"/>
    <n v="40"/>
    <n v="600"/>
    <n v="0.03"/>
    <n v="18"/>
    <x v="2"/>
  </r>
  <r>
    <s v="Order-963"/>
    <x v="2"/>
    <x v="1"/>
    <x v="2"/>
    <n v="2"/>
    <n v="40"/>
    <n v="80"/>
    <n v="0.03"/>
    <n v="2.4"/>
    <x v="3"/>
  </r>
  <r>
    <s v="Order-964"/>
    <x v="2"/>
    <x v="4"/>
    <x v="2"/>
    <n v="2"/>
    <n v="150"/>
    <n v="300"/>
    <n v="0.02"/>
    <n v="6"/>
    <x v="4"/>
  </r>
  <r>
    <s v="Order-965"/>
    <x v="3"/>
    <x v="2"/>
    <x v="0"/>
    <n v="3"/>
    <n v="230"/>
    <n v="690"/>
    <n v="0.11"/>
    <n v="75.900000000000006"/>
    <x v="5"/>
  </r>
  <r>
    <s v="Order-966"/>
    <x v="3"/>
    <x v="1"/>
    <x v="2"/>
    <n v="4"/>
    <n v="40"/>
    <n v="160"/>
    <n v="0.06"/>
    <n v="9.6"/>
    <x v="1"/>
  </r>
  <r>
    <s v="Order-967"/>
    <x v="3"/>
    <x v="1"/>
    <x v="3"/>
    <n v="13"/>
    <n v="40"/>
    <n v="520"/>
    <n v="0.06"/>
    <n v="31.2"/>
    <x v="2"/>
  </r>
  <r>
    <s v="Order-968"/>
    <x v="3"/>
    <x v="3"/>
    <x v="3"/>
    <n v="15"/>
    <n v="16"/>
    <n v="240"/>
    <n v="0.12"/>
    <n v="28.799999999999997"/>
    <x v="3"/>
  </r>
  <r>
    <s v="Order-969"/>
    <x v="3"/>
    <x v="0"/>
    <x v="0"/>
    <n v="14"/>
    <n v="80"/>
    <n v="1120"/>
    <n v="0.08"/>
    <n v="89.600000000000009"/>
    <x v="4"/>
  </r>
  <r>
    <s v="Order-970"/>
    <x v="3"/>
    <x v="3"/>
    <x v="0"/>
    <n v="7"/>
    <n v="16"/>
    <n v="112"/>
    <n v="0.08"/>
    <n v="8.9600000000000009"/>
    <x v="5"/>
  </r>
  <r>
    <s v="Order-971"/>
    <x v="3"/>
    <x v="4"/>
    <x v="1"/>
    <n v="13"/>
    <n v="150"/>
    <n v="1950"/>
    <n v="0.02"/>
    <n v="39"/>
    <x v="6"/>
  </r>
  <r>
    <s v="Order-972"/>
    <x v="3"/>
    <x v="4"/>
    <x v="2"/>
    <n v="9"/>
    <n v="150"/>
    <n v="1350"/>
    <n v="0.02"/>
    <n v="27"/>
    <x v="7"/>
  </r>
  <r>
    <s v="Order-973"/>
    <x v="3"/>
    <x v="1"/>
    <x v="0"/>
    <n v="9"/>
    <n v="40"/>
    <n v="360"/>
    <n v="0.01"/>
    <n v="3.6"/>
    <x v="8"/>
  </r>
  <r>
    <s v="Order-974"/>
    <x v="4"/>
    <x v="0"/>
    <x v="4"/>
    <n v="9"/>
    <n v="80"/>
    <n v="720"/>
    <n v="7.0000000000000007E-2"/>
    <n v="50.400000000000006"/>
    <x v="9"/>
  </r>
  <r>
    <s v="Order-975"/>
    <x v="4"/>
    <x v="2"/>
    <x v="1"/>
    <n v="22"/>
    <n v="230"/>
    <n v="5060"/>
    <n v="0.11"/>
    <n v="556.6"/>
    <x v="10"/>
  </r>
  <r>
    <s v="Order-976"/>
    <x v="4"/>
    <x v="4"/>
    <x v="1"/>
    <n v="15"/>
    <n v="150"/>
    <n v="2250"/>
    <n v="0.02"/>
    <n v="45"/>
    <x v="11"/>
  </r>
  <r>
    <s v="Order-977"/>
    <x v="4"/>
    <x v="2"/>
    <x v="4"/>
    <n v="5"/>
    <n v="230"/>
    <n v="1150"/>
    <n v="0.12"/>
    <n v="138"/>
    <x v="0"/>
  </r>
  <r>
    <s v="Order-978"/>
    <x v="4"/>
    <x v="1"/>
    <x v="2"/>
    <n v="20"/>
    <n v="40"/>
    <n v="800"/>
    <n v="0.01"/>
    <n v="8"/>
    <x v="1"/>
  </r>
  <r>
    <s v="Order-979"/>
    <x v="4"/>
    <x v="1"/>
    <x v="0"/>
    <n v="23"/>
    <n v="40"/>
    <n v="920"/>
    <n v="0.03"/>
    <n v="27.599999999999998"/>
    <x v="2"/>
  </r>
  <r>
    <s v="Order-980"/>
    <x v="4"/>
    <x v="0"/>
    <x v="4"/>
    <n v="16"/>
    <n v="80"/>
    <n v="1280"/>
    <n v="0.05"/>
    <n v="64"/>
    <x v="3"/>
  </r>
  <r>
    <s v="Order-981"/>
    <x v="4"/>
    <x v="2"/>
    <x v="2"/>
    <n v="18"/>
    <n v="230"/>
    <n v="4140"/>
    <n v="0.01"/>
    <n v="41.4"/>
    <x v="4"/>
  </r>
  <r>
    <s v="Order-982"/>
    <x v="4"/>
    <x v="1"/>
    <x v="4"/>
    <n v="23"/>
    <n v="40"/>
    <n v="920"/>
    <n v="0.05"/>
    <n v="46"/>
    <x v="5"/>
  </r>
  <r>
    <s v="Order-983"/>
    <x v="4"/>
    <x v="3"/>
    <x v="3"/>
    <n v="5"/>
    <n v="16"/>
    <n v="80"/>
    <n v="0.09"/>
    <n v="7.1999999999999993"/>
    <x v="1"/>
  </r>
  <r>
    <s v="Order-984"/>
    <x v="4"/>
    <x v="1"/>
    <x v="0"/>
    <n v="22"/>
    <n v="40"/>
    <n v="880"/>
    <n v="0.02"/>
    <n v="17.600000000000001"/>
    <x v="2"/>
  </r>
  <r>
    <s v="Order-985"/>
    <x v="5"/>
    <x v="4"/>
    <x v="0"/>
    <n v="23"/>
    <n v="150"/>
    <n v="3450"/>
    <n v="0.1"/>
    <n v="345"/>
    <x v="3"/>
  </r>
  <r>
    <s v="Order-986"/>
    <x v="5"/>
    <x v="2"/>
    <x v="1"/>
    <n v="22"/>
    <n v="230"/>
    <n v="5060"/>
    <n v="0.04"/>
    <n v="202.4"/>
    <x v="4"/>
  </r>
  <r>
    <s v="Order-987"/>
    <x v="5"/>
    <x v="0"/>
    <x v="3"/>
    <n v="16"/>
    <n v="80"/>
    <n v="1280"/>
    <n v="7.0000000000000007E-2"/>
    <n v="89.600000000000009"/>
    <x v="5"/>
  </r>
  <r>
    <s v="Order-988"/>
    <x v="5"/>
    <x v="4"/>
    <x v="2"/>
    <n v="22"/>
    <n v="150"/>
    <n v="3300"/>
    <n v="0.09"/>
    <n v="297"/>
    <x v="6"/>
  </r>
  <r>
    <s v="Order-989"/>
    <x v="5"/>
    <x v="0"/>
    <x v="2"/>
    <n v="5"/>
    <n v="80"/>
    <n v="400"/>
    <n v="0.09"/>
    <n v="36"/>
    <x v="7"/>
  </r>
  <r>
    <s v="Order-990"/>
    <x v="5"/>
    <x v="0"/>
    <x v="3"/>
    <n v="16"/>
    <n v="80"/>
    <n v="1280"/>
    <n v="0.1"/>
    <n v="128"/>
    <x v="8"/>
  </r>
  <r>
    <s v="Order-991"/>
    <x v="5"/>
    <x v="4"/>
    <x v="1"/>
    <n v="23"/>
    <n v="150"/>
    <n v="3450"/>
    <n v="0.11"/>
    <n v="379.5"/>
    <x v="9"/>
  </r>
  <r>
    <s v="Order-992"/>
    <x v="5"/>
    <x v="3"/>
    <x v="1"/>
    <n v="4"/>
    <n v="16"/>
    <n v="64"/>
    <n v="0.09"/>
    <n v="5.76"/>
    <x v="10"/>
  </r>
  <r>
    <s v="Order-993"/>
    <x v="5"/>
    <x v="3"/>
    <x v="1"/>
    <n v="4"/>
    <n v="16"/>
    <n v="64"/>
    <n v="7.0000000000000007E-2"/>
    <n v="4.4800000000000004"/>
    <x v="11"/>
  </r>
  <r>
    <s v="Order-994"/>
    <x v="5"/>
    <x v="3"/>
    <x v="0"/>
    <n v="16"/>
    <n v="16"/>
    <n v="256"/>
    <n v="0.03"/>
    <n v="7.68"/>
    <x v="0"/>
  </r>
  <r>
    <s v="Order-995"/>
    <x v="5"/>
    <x v="1"/>
    <x v="3"/>
    <n v="18"/>
    <n v="40"/>
    <n v="720"/>
    <n v="0.04"/>
    <n v="28.8"/>
    <x v="1"/>
  </r>
  <r>
    <s v="Order-996"/>
    <x v="5"/>
    <x v="0"/>
    <x v="3"/>
    <n v="21"/>
    <n v="80"/>
    <n v="1680"/>
    <n v="0.02"/>
    <n v="33.6"/>
    <x v="2"/>
  </r>
  <r>
    <s v="Order-997"/>
    <x v="5"/>
    <x v="0"/>
    <x v="4"/>
    <n v="10"/>
    <n v="80"/>
    <n v="800"/>
    <n v="0.06"/>
    <n v="48"/>
    <x v="3"/>
  </r>
  <r>
    <s v="Order-998"/>
    <x v="5"/>
    <x v="2"/>
    <x v="2"/>
    <n v="7"/>
    <n v="230"/>
    <n v="1610"/>
    <n v="0.01"/>
    <n v="16.100000000000001"/>
    <x v="4"/>
  </r>
  <r>
    <s v="Order-999"/>
    <x v="6"/>
    <x v="3"/>
    <x v="4"/>
    <n v="11"/>
    <n v="16"/>
    <n v="176"/>
    <n v="0.12"/>
    <n v="21.119999999999997"/>
    <x v="5"/>
  </r>
  <r>
    <s v="Order-1000"/>
    <x v="6"/>
    <x v="0"/>
    <x v="3"/>
    <n v="10"/>
    <n v="80"/>
    <n v="800"/>
    <n v="0.1"/>
    <n v="80"/>
    <x v="1"/>
  </r>
  <r>
    <s v="Order-1001"/>
    <x v="6"/>
    <x v="1"/>
    <x v="1"/>
    <n v="23"/>
    <n v="40"/>
    <n v="920"/>
    <n v="0.06"/>
    <n v="55.199999999999996"/>
    <x v="2"/>
  </r>
  <r>
    <s v="Order-1002"/>
    <x v="6"/>
    <x v="4"/>
    <x v="4"/>
    <n v="7"/>
    <n v="150"/>
    <n v="1050"/>
    <n v="0.02"/>
    <n v="21"/>
    <x v="3"/>
  </r>
  <r>
    <s v="Order-1003"/>
    <x v="6"/>
    <x v="0"/>
    <x v="0"/>
    <n v="17"/>
    <n v="80"/>
    <n v="1360"/>
    <n v="7.0000000000000007E-2"/>
    <n v="95.2"/>
    <x v="4"/>
  </r>
  <r>
    <s v="Order-1004"/>
    <x v="6"/>
    <x v="4"/>
    <x v="1"/>
    <n v="20"/>
    <n v="150"/>
    <n v="3000"/>
    <n v="0.09"/>
    <n v="270"/>
    <x v="5"/>
  </r>
  <r>
    <s v="Order-1005"/>
    <x v="6"/>
    <x v="2"/>
    <x v="3"/>
    <n v="23"/>
    <n v="230"/>
    <n v="5290"/>
    <n v="0.06"/>
    <n v="317.39999999999998"/>
    <x v="6"/>
  </r>
  <r>
    <s v="Order-1006"/>
    <x v="6"/>
    <x v="0"/>
    <x v="1"/>
    <n v="16"/>
    <n v="80"/>
    <n v="1280"/>
    <n v="0.04"/>
    <n v="51.2"/>
    <x v="7"/>
  </r>
  <r>
    <s v="Order-1007"/>
    <x v="6"/>
    <x v="2"/>
    <x v="4"/>
    <n v="22"/>
    <n v="230"/>
    <n v="5060"/>
    <n v="0.1"/>
    <n v="506"/>
    <x v="8"/>
  </r>
  <r>
    <s v="Order-1008"/>
    <x v="6"/>
    <x v="2"/>
    <x v="2"/>
    <n v="15"/>
    <n v="230"/>
    <n v="3450"/>
    <n v="0.11"/>
    <n v="379.5"/>
    <x v="9"/>
  </r>
  <r>
    <s v="Order-1009"/>
    <x v="6"/>
    <x v="1"/>
    <x v="1"/>
    <n v="15"/>
    <n v="40"/>
    <n v="600"/>
    <n v="0.04"/>
    <n v="24"/>
    <x v="10"/>
  </r>
  <r>
    <s v="Order-1010"/>
    <x v="6"/>
    <x v="0"/>
    <x v="1"/>
    <n v="2"/>
    <n v="80"/>
    <n v="160"/>
    <n v="7.0000000000000007E-2"/>
    <n v="11.200000000000001"/>
    <x v="11"/>
  </r>
  <r>
    <s v="Order-1011"/>
    <x v="7"/>
    <x v="4"/>
    <x v="0"/>
    <n v="22"/>
    <n v="150"/>
    <n v="3300"/>
    <n v="0.05"/>
    <n v="165"/>
    <x v="0"/>
  </r>
  <r>
    <s v="Order-1012"/>
    <x v="7"/>
    <x v="1"/>
    <x v="4"/>
    <n v="20"/>
    <n v="40"/>
    <n v="800"/>
    <n v="7.0000000000000007E-2"/>
    <n v="56.000000000000007"/>
    <x v="1"/>
  </r>
  <r>
    <s v="Order-1013"/>
    <x v="7"/>
    <x v="2"/>
    <x v="3"/>
    <n v="2"/>
    <n v="230"/>
    <n v="460"/>
    <n v="0.09"/>
    <n v="41.4"/>
    <x v="2"/>
  </r>
  <r>
    <s v="Order-1014"/>
    <x v="7"/>
    <x v="1"/>
    <x v="3"/>
    <n v="7"/>
    <n v="40"/>
    <n v="280"/>
    <n v="0.11"/>
    <n v="30.8"/>
    <x v="3"/>
  </r>
  <r>
    <s v="Order-1015"/>
    <x v="7"/>
    <x v="1"/>
    <x v="3"/>
    <n v="9"/>
    <n v="40"/>
    <n v="360"/>
    <n v="0.06"/>
    <n v="21.599999999999998"/>
    <x v="5"/>
  </r>
  <r>
    <s v="Order-1016"/>
    <x v="7"/>
    <x v="1"/>
    <x v="0"/>
    <n v="18"/>
    <n v="40"/>
    <n v="720"/>
    <n v="0.11"/>
    <n v="79.2"/>
    <x v="1"/>
  </r>
  <r>
    <s v="Order-1017"/>
    <x v="7"/>
    <x v="2"/>
    <x v="0"/>
    <n v="20"/>
    <n v="230"/>
    <n v="4600"/>
    <n v="0.04"/>
    <n v="184"/>
    <x v="2"/>
  </r>
  <r>
    <s v="Order-1018"/>
    <x v="7"/>
    <x v="0"/>
    <x v="2"/>
    <n v="23"/>
    <n v="80"/>
    <n v="1840"/>
    <n v="0.05"/>
    <n v="92"/>
    <x v="3"/>
  </r>
  <r>
    <s v="Order-1019"/>
    <x v="7"/>
    <x v="4"/>
    <x v="4"/>
    <n v="11"/>
    <n v="150"/>
    <n v="1650"/>
    <n v="0.09"/>
    <n v="148.5"/>
    <x v="4"/>
  </r>
  <r>
    <s v="Order-1020"/>
    <x v="7"/>
    <x v="4"/>
    <x v="0"/>
    <n v="17"/>
    <n v="150"/>
    <n v="2550"/>
    <n v="0.12"/>
    <n v="306"/>
    <x v="5"/>
  </r>
  <r>
    <s v="Order-1021"/>
    <x v="7"/>
    <x v="2"/>
    <x v="4"/>
    <n v="2"/>
    <n v="230"/>
    <n v="460"/>
    <n v="0.08"/>
    <n v="36.800000000000004"/>
    <x v="6"/>
  </r>
  <r>
    <s v="Order-1022"/>
    <x v="7"/>
    <x v="0"/>
    <x v="2"/>
    <n v="10"/>
    <n v="80"/>
    <n v="800"/>
    <n v="0.11"/>
    <n v="88"/>
    <x v="7"/>
  </r>
  <r>
    <s v="Order-1023"/>
    <x v="8"/>
    <x v="3"/>
    <x v="3"/>
    <n v="22"/>
    <n v="16"/>
    <n v="352"/>
    <n v="0.03"/>
    <n v="10.559999999999999"/>
    <x v="8"/>
  </r>
  <r>
    <s v="Order-1024"/>
    <x v="8"/>
    <x v="3"/>
    <x v="2"/>
    <n v="9"/>
    <n v="16"/>
    <n v="144"/>
    <n v="0.05"/>
    <n v="7.2"/>
    <x v="9"/>
  </r>
  <r>
    <s v="Order-1025"/>
    <x v="8"/>
    <x v="1"/>
    <x v="2"/>
    <n v="4"/>
    <n v="40"/>
    <n v="160"/>
    <n v="0.1"/>
    <n v="16"/>
    <x v="10"/>
  </r>
  <r>
    <s v="Order-1026"/>
    <x v="8"/>
    <x v="0"/>
    <x v="4"/>
    <n v="9"/>
    <n v="80"/>
    <n v="720"/>
    <n v="0.02"/>
    <n v="14.4"/>
    <x v="11"/>
  </r>
  <r>
    <s v="Order-1027"/>
    <x v="8"/>
    <x v="2"/>
    <x v="2"/>
    <n v="6"/>
    <n v="230"/>
    <n v="1380"/>
    <n v="0.05"/>
    <n v="69"/>
    <x v="0"/>
  </r>
  <r>
    <s v="Order-1028"/>
    <x v="8"/>
    <x v="0"/>
    <x v="3"/>
    <n v="14"/>
    <n v="80"/>
    <n v="1120"/>
    <n v="0.05"/>
    <n v="56"/>
    <x v="1"/>
  </r>
  <r>
    <s v="Order-1029"/>
    <x v="8"/>
    <x v="3"/>
    <x v="4"/>
    <n v="17"/>
    <n v="16"/>
    <n v="272"/>
    <n v="0.08"/>
    <n v="21.76"/>
    <x v="2"/>
  </r>
  <r>
    <s v="Order-1030"/>
    <x v="8"/>
    <x v="4"/>
    <x v="1"/>
    <n v="22"/>
    <n v="150"/>
    <n v="3300"/>
    <n v="0.02"/>
    <n v="66"/>
    <x v="3"/>
  </r>
  <r>
    <s v="Order-1031"/>
    <x v="8"/>
    <x v="1"/>
    <x v="4"/>
    <n v="17"/>
    <n v="40"/>
    <n v="680"/>
    <n v="0.02"/>
    <n v="13.6"/>
    <x v="4"/>
  </r>
  <r>
    <s v="Order-1032"/>
    <x v="8"/>
    <x v="0"/>
    <x v="4"/>
    <n v="17"/>
    <n v="80"/>
    <n v="1360"/>
    <n v="7.0000000000000007E-2"/>
    <n v="95.2"/>
    <x v="5"/>
  </r>
  <r>
    <s v="Order-1033"/>
    <x v="8"/>
    <x v="4"/>
    <x v="3"/>
    <n v="4"/>
    <n v="150"/>
    <n v="600"/>
    <n v="0.12"/>
    <n v="72"/>
    <x v="1"/>
  </r>
  <r>
    <s v="Order-1034"/>
    <x v="8"/>
    <x v="3"/>
    <x v="3"/>
    <n v="14"/>
    <n v="16"/>
    <n v="224"/>
    <n v="0.12"/>
    <n v="26.88"/>
    <x v="2"/>
  </r>
  <r>
    <s v="Order-1035"/>
    <x v="8"/>
    <x v="3"/>
    <x v="0"/>
    <n v="18"/>
    <n v="16"/>
    <n v="288"/>
    <n v="0.11"/>
    <n v="31.68"/>
    <x v="3"/>
  </r>
  <r>
    <s v="Order-1036"/>
    <x v="8"/>
    <x v="0"/>
    <x v="4"/>
    <n v="22"/>
    <n v="80"/>
    <n v="1760"/>
    <n v="0.09"/>
    <n v="158.4"/>
    <x v="4"/>
  </r>
  <r>
    <s v="Order-1037"/>
    <x v="8"/>
    <x v="2"/>
    <x v="1"/>
    <n v="12"/>
    <n v="230"/>
    <n v="2760"/>
    <n v="0.03"/>
    <n v="82.8"/>
    <x v="5"/>
  </r>
  <r>
    <s v="Order-1038"/>
    <x v="8"/>
    <x v="1"/>
    <x v="1"/>
    <n v="12"/>
    <n v="40"/>
    <n v="480"/>
    <n v="0.1"/>
    <n v="48"/>
    <x v="6"/>
  </r>
  <r>
    <s v="Order-1039"/>
    <x v="9"/>
    <x v="1"/>
    <x v="4"/>
    <n v="7"/>
    <n v="40"/>
    <n v="280"/>
    <n v="0.12"/>
    <n v="33.6"/>
    <x v="7"/>
  </r>
  <r>
    <s v="Order-1040"/>
    <x v="9"/>
    <x v="0"/>
    <x v="0"/>
    <n v="12"/>
    <n v="80"/>
    <n v="960"/>
    <n v="0.04"/>
    <n v="38.4"/>
    <x v="8"/>
  </r>
  <r>
    <s v="Order-1041"/>
    <x v="9"/>
    <x v="3"/>
    <x v="4"/>
    <n v="17"/>
    <n v="16"/>
    <n v="272"/>
    <n v="0.1"/>
    <n v="27.200000000000003"/>
    <x v="9"/>
  </r>
  <r>
    <s v="Order-1042"/>
    <x v="9"/>
    <x v="2"/>
    <x v="1"/>
    <n v="6"/>
    <n v="230"/>
    <n v="1380"/>
    <n v="0.1"/>
    <n v="138"/>
    <x v="10"/>
  </r>
  <r>
    <s v="Order-1043"/>
    <x v="9"/>
    <x v="1"/>
    <x v="0"/>
    <n v="11"/>
    <n v="40"/>
    <n v="440"/>
    <n v="0.04"/>
    <n v="17.600000000000001"/>
    <x v="11"/>
  </r>
  <r>
    <s v="Order-1044"/>
    <x v="9"/>
    <x v="3"/>
    <x v="3"/>
    <n v="10"/>
    <n v="16"/>
    <n v="160"/>
    <n v="0.04"/>
    <n v="6.4"/>
    <x v="0"/>
  </r>
  <r>
    <s v="Order-1045"/>
    <x v="9"/>
    <x v="0"/>
    <x v="0"/>
    <n v="6"/>
    <n v="80"/>
    <n v="480"/>
    <n v="7.0000000000000007E-2"/>
    <n v="33.6"/>
    <x v="1"/>
  </r>
  <r>
    <s v="Order-1046"/>
    <x v="9"/>
    <x v="1"/>
    <x v="3"/>
    <n v="11"/>
    <n v="40"/>
    <n v="440"/>
    <n v="0.09"/>
    <n v="39.6"/>
    <x v="2"/>
  </r>
  <r>
    <s v="Order-1047"/>
    <x v="9"/>
    <x v="0"/>
    <x v="4"/>
    <n v="16"/>
    <n v="80"/>
    <n v="1280"/>
    <n v="0.09"/>
    <n v="115.19999999999999"/>
    <x v="3"/>
  </r>
  <r>
    <s v="Order-1048"/>
    <x v="9"/>
    <x v="1"/>
    <x v="3"/>
    <n v="13"/>
    <n v="40"/>
    <n v="520"/>
    <n v="0.09"/>
    <n v="46.8"/>
    <x v="4"/>
  </r>
  <r>
    <s v="Order-1049"/>
    <x v="9"/>
    <x v="2"/>
    <x v="0"/>
    <n v="5"/>
    <n v="230"/>
    <n v="1150"/>
    <n v="0.1"/>
    <n v="115"/>
    <x v="5"/>
  </r>
  <r>
    <s v="Order-1050"/>
    <x v="10"/>
    <x v="1"/>
    <x v="4"/>
    <n v="7"/>
    <n v="40"/>
    <n v="280"/>
    <n v="0.05"/>
    <n v="14"/>
    <x v="1"/>
  </r>
  <r>
    <s v="Order-1051"/>
    <x v="10"/>
    <x v="0"/>
    <x v="2"/>
    <n v="14"/>
    <n v="80"/>
    <n v="1120"/>
    <n v="0.1"/>
    <n v="112"/>
    <x v="2"/>
  </r>
  <r>
    <s v="Order-1052"/>
    <x v="10"/>
    <x v="3"/>
    <x v="4"/>
    <n v="12"/>
    <n v="16"/>
    <n v="192"/>
    <n v="0.04"/>
    <n v="7.68"/>
    <x v="3"/>
  </r>
  <r>
    <s v="Order-1053"/>
    <x v="10"/>
    <x v="2"/>
    <x v="2"/>
    <n v="14"/>
    <n v="230"/>
    <n v="3220"/>
    <n v="0.03"/>
    <n v="96.6"/>
    <x v="4"/>
  </r>
  <r>
    <s v="Order-1054"/>
    <x v="10"/>
    <x v="0"/>
    <x v="4"/>
    <n v="21"/>
    <n v="80"/>
    <n v="1680"/>
    <n v="0.09"/>
    <n v="151.19999999999999"/>
    <x v="5"/>
  </r>
  <r>
    <s v="Order-1055"/>
    <x v="10"/>
    <x v="2"/>
    <x v="2"/>
    <n v="5"/>
    <n v="230"/>
    <n v="1150"/>
    <n v="0.1"/>
    <n v="115"/>
    <x v="6"/>
  </r>
  <r>
    <s v="Order-1056"/>
    <x v="10"/>
    <x v="1"/>
    <x v="4"/>
    <n v="16"/>
    <n v="40"/>
    <n v="640"/>
    <n v="0.09"/>
    <n v="57.599999999999994"/>
    <x v="7"/>
  </r>
  <r>
    <s v="Order-1057"/>
    <x v="10"/>
    <x v="4"/>
    <x v="1"/>
    <n v="15"/>
    <n v="150"/>
    <n v="2250"/>
    <n v="0.12"/>
    <n v="270"/>
    <x v="8"/>
  </r>
  <r>
    <s v="Order-1058"/>
    <x v="10"/>
    <x v="3"/>
    <x v="4"/>
    <n v="23"/>
    <n v="16"/>
    <n v="368"/>
    <n v="0.01"/>
    <n v="3.68"/>
    <x v="9"/>
  </r>
  <r>
    <s v="Order-1059"/>
    <x v="10"/>
    <x v="3"/>
    <x v="1"/>
    <n v="22"/>
    <n v="16"/>
    <n v="352"/>
    <n v="0.04"/>
    <n v="14.08"/>
    <x v="10"/>
  </r>
  <r>
    <s v="Order-1060"/>
    <x v="10"/>
    <x v="0"/>
    <x v="0"/>
    <n v="20"/>
    <n v="80"/>
    <n v="1600"/>
    <n v="0.01"/>
    <n v="16"/>
    <x v="11"/>
  </r>
  <r>
    <s v="Order-1061"/>
    <x v="10"/>
    <x v="1"/>
    <x v="3"/>
    <n v="6"/>
    <n v="40"/>
    <n v="240"/>
    <n v="7.0000000000000007E-2"/>
    <n v="16.8"/>
    <x v="0"/>
  </r>
  <r>
    <s v="Order-1062"/>
    <x v="11"/>
    <x v="4"/>
    <x v="1"/>
    <n v="10"/>
    <n v="150"/>
    <n v="1500"/>
    <n v="0.01"/>
    <n v="15"/>
    <x v="1"/>
  </r>
  <r>
    <s v="Order-1063"/>
    <x v="11"/>
    <x v="0"/>
    <x v="3"/>
    <n v="17"/>
    <n v="80"/>
    <n v="1360"/>
    <n v="0.05"/>
    <n v="68"/>
    <x v="2"/>
  </r>
  <r>
    <s v="Order-1064"/>
    <x v="11"/>
    <x v="4"/>
    <x v="0"/>
    <n v="13"/>
    <n v="150"/>
    <n v="1950"/>
    <n v="0.05"/>
    <n v="97.5"/>
    <x v="3"/>
  </r>
  <r>
    <s v="Order-1065"/>
    <x v="11"/>
    <x v="2"/>
    <x v="3"/>
    <n v="8"/>
    <n v="230"/>
    <n v="1840"/>
    <n v="0.05"/>
    <n v="92"/>
    <x v="4"/>
  </r>
  <r>
    <s v="Order-1066"/>
    <x v="11"/>
    <x v="3"/>
    <x v="0"/>
    <n v="10"/>
    <n v="16"/>
    <n v="160"/>
    <n v="0.08"/>
    <n v="12.8"/>
    <x v="5"/>
  </r>
  <r>
    <s v="Order-1067"/>
    <x v="11"/>
    <x v="1"/>
    <x v="1"/>
    <n v="4"/>
    <n v="40"/>
    <n v="160"/>
    <n v="0.06"/>
    <n v="9.6"/>
    <x v="1"/>
  </r>
  <r>
    <s v="Order-1068"/>
    <x v="11"/>
    <x v="1"/>
    <x v="4"/>
    <n v="18"/>
    <n v="40"/>
    <n v="720"/>
    <n v="0.06"/>
    <n v="43.199999999999996"/>
    <x v="2"/>
  </r>
  <r>
    <s v="Order-1069"/>
    <x v="11"/>
    <x v="4"/>
    <x v="3"/>
    <n v="15"/>
    <n v="150"/>
    <n v="2250"/>
    <n v="0.05"/>
    <n v="112.5"/>
    <x v="3"/>
  </r>
  <r>
    <s v="Order-1070"/>
    <x v="11"/>
    <x v="4"/>
    <x v="3"/>
    <n v="3"/>
    <n v="150"/>
    <n v="450"/>
    <n v="0.01"/>
    <n v="4.5"/>
    <x v="4"/>
  </r>
  <r>
    <s v="Order-1071"/>
    <x v="11"/>
    <x v="3"/>
    <x v="0"/>
    <n v="12"/>
    <n v="16"/>
    <n v="192"/>
    <n v="0.11"/>
    <n v="21.12"/>
    <x v="5"/>
  </r>
  <r>
    <s v="Order-1072"/>
    <x v="12"/>
    <x v="0"/>
    <x v="4"/>
    <n v="17"/>
    <n v="80"/>
    <n v="1360"/>
    <n v="7.0000000000000007E-2"/>
    <n v="95.2"/>
    <x v="6"/>
  </r>
  <r>
    <s v="Order-1073"/>
    <x v="12"/>
    <x v="2"/>
    <x v="0"/>
    <n v="3"/>
    <n v="230"/>
    <n v="690"/>
    <n v="0.06"/>
    <n v="41.4"/>
    <x v="7"/>
  </r>
  <r>
    <s v="Order-1074"/>
    <x v="12"/>
    <x v="0"/>
    <x v="2"/>
    <n v="20"/>
    <n v="80"/>
    <n v="1600"/>
    <n v="7.0000000000000007E-2"/>
    <n v="112.00000000000001"/>
    <x v="8"/>
  </r>
  <r>
    <s v="Order-1075"/>
    <x v="12"/>
    <x v="2"/>
    <x v="1"/>
    <n v="14"/>
    <n v="230"/>
    <n v="3220"/>
    <n v="0.05"/>
    <n v="161"/>
    <x v="9"/>
  </r>
  <r>
    <s v="Order-1076"/>
    <x v="12"/>
    <x v="1"/>
    <x v="4"/>
    <n v="16"/>
    <n v="40"/>
    <n v="640"/>
    <n v="0.09"/>
    <n v="57.599999999999994"/>
    <x v="10"/>
  </r>
  <r>
    <s v="Order-1077"/>
    <x v="12"/>
    <x v="3"/>
    <x v="1"/>
    <n v="7"/>
    <n v="16"/>
    <n v="112"/>
    <n v="0.08"/>
    <n v="8.9600000000000009"/>
    <x v="11"/>
  </r>
  <r>
    <s v="Order-1078"/>
    <x v="12"/>
    <x v="1"/>
    <x v="1"/>
    <n v="19"/>
    <n v="40"/>
    <n v="760"/>
    <n v="0.1"/>
    <n v="76"/>
    <x v="0"/>
  </r>
  <r>
    <s v="Order-1079"/>
    <x v="12"/>
    <x v="2"/>
    <x v="3"/>
    <n v="7"/>
    <n v="230"/>
    <n v="1610"/>
    <n v="0.06"/>
    <n v="96.6"/>
    <x v="1"/>
  </r>
  <r>
    <s v="Order-1080"/>
    <x v="12"/>
    <x v="1"/>
    <x v="4"/>
    <n v="20"/>
    <n v="40"/>
    <n v="800"/>
    <n v="0.03"/>
    <n v="24"/>
    <x v="2"/>
  </r>
  <r>
    <s v="Order-1081"/>
    <x v="12"/>
    <x v="3"/>
    <x v="2"/>
    <n v="11"/>
    <n v="16"/>
    <n v="176"/>
    <n v="0.12"/>
    <n v="21.119999999999997"/>
    <x v="3"/>
  </r>
  <r>
    <s v="Order-1082"/>
    <x v="12"/>
    <x v="0"/>
    <x v="4"/>
    <n v="16"/>
    <n v="80"/>
    <n v="1280"/>
    <n v="0.09"/>
    <n v="115.19999999999999"/>
    <x v="4"/>
  </r>
  <r>
    <s v="Order-1083"/>
    <x v="12"/>
    <x v="3"/>
    <x v="0"/>
    <n v="21"/>
    <n v="16"/>
    <n v="336"/>
    <n v="0.09"/>
    <n v="30.24"/>
    <x v="5"/>
  </r>
  <r>
    <s v="Order-1084"/>
    <x v="12"/>
    <x v="3"/>
    <x v="0"/>
    <n v="22"/>
    <n v="16"/>
    <n v="352"/>
    <n v="0.01"/>
    <n v="3.52"/>
    <x v="1"/>
  </r>
  <r>
    <s v="Order-1085"/>
    <x v="12"/>
    <x v="2"/>
    <x v="3"/>
    <n v="23"/>
    <n v="230"/>
    <n v="5290"/>
    <n v="0.06"/>
    <n v="317.39999999999998"/>
    <x v="2"/>
  </r>
  <r>
    <s v="Order-1086"/>
    <x v="12"/>
    <x v="4"/>
    <x v="0"/>
    <n v="9"/>
    <n v="150"/>
    <n v="1350"/>
    <n v="0.1"/>
    <n v="135"/>
    <x v="3"/>
  </r>
  <r>
    <s v="Order-1087"/>
    <x v="12"/>
    <x v="4"/>
    <x v="2"/>
    <n v="9"/>
    <n v="150"/>
    <n v="1350"/>
    <n v="0.06"/>
    <n v="81"/>
    <x v="4"/>
  </r>
  <r>
    <s v="Order-1088"/>
    <x v="13"/>
    <x v="2"/>
    <x v="0"/>
    <n v="9"/>
    <n v="230"/>
    <n v="2070"/>
    <n v="7.0000000000000007E-2"/>
    <n v="144.9"/>
    <x v="5"/>
  </r>
  <r>
    <s v="Order-1089"/>
    <x v="13"/>
    <x v="0"/>
    <x v="2"/>
    <n v="10"/>
    <n v="80"/>
    <n v="800"/>
    <n v="0.08"/>
    <n v="64"/>
    <x v="6"/>
  </r>
  <r>
    <s v="Order-1090"/>
    <x v="13"/>
    <x v="3"/>
    <x v="2"/>
    <n v="23"/>
    <n v="16"/>
    <n v="368"/>
    <n v="0.11"/>
    <n v="40.479999999999997"/>
    <x v="7"/>
  </r>
  <r>
    <s v="Order-1091"/>
    <x v="13"/>
    <x v="0"/>
    <x v="3"/>
    <n v="22"/>
    <n v="80"/>
    <n v="1760"/>
    <n v="0.03"/>
    <n v="52.8"/>
    <x v="8"/>
  </r>
  <r>
    <s v="Order-1092"/>
    <x v="13"/>
    <x v="0"/>
    <x v="3"/>
    <n v="4"/>
    <n v="80"/>
    <n v="320"/>
    <n v="0.11"/>
    <n v="35.200000000000003"/>
    <x v="9"/>
  </r>
  <r>
    <s v="Order-1093"/>
    <x v="13"/>
    <x v="3"/>
    <x v="0"/>
    <n v="22"/>
    <n v="16"/>
    <n v="352"/>
    <n v="0.06"/>
    <n v="21.119999999999997"/>
    <x v="10"/>
  </r>
  <r>
    <s v="Order-1094"/>
    <x v="13"/>
    <x v="1"/>
    <x v="1"/>
    <n v="15"/>
    <n v="40"/>
    <n v="600"/>
    <n v="0.02"/>
    <n v="12"/>
    <x v="11"/>
  </r>
  <r>
    <s v="Order-1095"/>
    <x v="13"/>
    <x v="1"/>
    <x v="4"/>
    <n v="7"/>
    <n v="40"/>
    <n v="280"/>
    <n v="0.04"/>
    <n v="11.200000000000001"/>
    <x v="0"/>
  </r>
  <r>
    <s v="Order-1096"/>
    <x v="13"/>
    <x v="3"/>
    <x v="4"/>
    <n v="2"/>
    <n v="16"/>
    <n v="32"/>
    <n v="0.04"/>
    <n v="1.28"/>
    <x v="1"/>
  </r>
  <r>
    <s v="Order-1097"/>
    <x v="13"/>
    <x v="0"/>
    <x v="3"/>
    <n v="7"/>
    <n v="80"/>
    <n v="560"/>
    <n v="0.02"/>
    <n v="11.200000000000001"/>
    <x v="2"/>
  </r>
  <r>
    <s v="Order-1098"/>
    <x v="14"/>
    <x v="3"/>
    <x v="4"/>
    <n v="22"/>
    <n v="16"/>
    <n v="352"/>
    <n v="0.12"/>
    <n v="42.239999999999995"/>
    <x v="3"/>
  </r>
  <r>
    <s v="Order-1099"/>
    <x v="14"/>
    <x v="1"/>
    <x v="1"/>
    <n v="21"/>
    <n v="40"/>
    <n v="840"/>
    <n v="0.03"/>
    <n v="25.2"/>
    <x v="4"/>
  </r>
  <r>
    <s v="Order-1100"/>
    <x v="14"/>
    <x v="0"/>
    <x v="0"/>
    <n v="6"/>
    <n v="80"/>
    <n v="480"/>
    <n v="0.01"/>
    <n v="4.8"/>
    <x v="5"/>
  </r>
  <r>
    <s v="Order-1101"/>
    <x v="14"/>
    <x v="0"/>
    <x v="4"/>
    <n v="13"/>
    <n v="80"/>
    <n v="1040"/>
    <n v="0.05"/>
    <n v="52"/>
    <x v="1"/>
  </r>
  <r>
    <s v="Order-1102"/>
    <x v="14"/>
    <x v="0"/>
    <x v="3"/>
    <n v="11"/>
    <n v="80"/>
    <n v="880"/>
    <n v="0.01"/>
    <n v="8.8000000000000007"/>
    <x v="2"/>
  </r>
  <r>
    <s v="Order-1103"/>
    <x v="14"/>
    <x v="1"/>
    <x v="0"/>
    <n v="18"/>
    <n v="40"/>
    <n v="720"/>
    <n v="0.06"/>
    <n v="43.199999999999996"/>
    <x v="3"/>
  </r>
  <r>
    <s v="Order-1104"/>
    <x v="14"/>
    <x v="4"/>
    <x v="3"/>
    <n v="7"/>
    <n v="150"/>
    <n v="1050"/>
    <n v="0.05"/>
    <n v="52.5"/>
    <x v="4"/>
  </r>
  <r>
    <s v="Order-1105"/>
    <x v="14"/>
    <x v="1"/>
    <x v="0"/>
    <n v="2"/>
    <n v="40"/>
    <n v="80"/>
    <n v="0.12"/>
    <n v="9.6"/>
    <x v="5"/>
  </r>
  <r>
    <s v="Order-1106"/>
    <x v="14"/>
    <x v="0"/>
    <x v="1"/>
    <n v="14"/>
    <n v="80"/>
    <n v="1120"/>
    <n v="0.06"/>
    <n v="67.2"/>
    <x v="6"/>
  </r>
  <r>
    <s v="Order-1107"/>
    <x v="14"/>
    <x v="4"/>
    <x v="4"/>
    <n v="7"/>
    <n v="150"/>
    <n v="1050"/>
    <n v="0.03"/>
    <n v="31.5"/>
    <x v="7"/>
  </r>
  <r>
    <s v="Order-1108"/>
    <x v="14"/>
    <x v="3"/>
    <x v="3"/>
    <n v="10"/>
    <n v="16"/>
    <n v="160"/>
    <n v="0.01"/>
    <n v="1.6"/>
    <x v="8"/>
  </r>
  <r>
    <s v="Order-1109"/>
    <x v="15"/>
    <x v="1"/>
    <x v="1"/>
    <n v="7"/>
    <n v="40"/>
    <n v="280"/>
    <n v="0.01"/>
    <n v="2.8000000000000003"/>
    <x v="9"/>
  </r>
  <r>
    <s v="Order-1110"/>
    <x v="15"/>
    <x v="3"/>
    <x v="3"/>
    <n v="7"/>
    <n v="16"/>
    <n v="112"/>
    <n v="0.08"/>
    <n v="8.9600000000000009"/>
    <x v="10"/>
  </r>
  <r>
    <s v="Order-1111"/>
    <x v="15"/>
    <x v="4"/>
    <x v="2"/>
    <n v="15"/>
    <n v="150"/>
    <n v="2250"/>
    <n v="0.05"/>
    <n v="112.5"/>
    <x v="11"/>
  </r>
  <r>
    <s v="Order-1112"/>
    <x v="15"/>
    <x v="0"/>
    <x v="0"/>
    <n v="7"/>
    <n v="80"/>
    <n v="560"/>
    <n v="0.02"/>
    <n v="11.200000000000001"/>
    <x v="0"/>
  </r>
  <r>
    <s v="Order-1113"/>
    <x v="15"/>
    <x v="1"/>
    <x v="2"/>
    <n v="6"/>
    <n v="40"/>
    <n v="240"/>
    <n v="0.06"/>
    <n v="14.399999999999999"/>
    <x v="1"/>
  </r>
  <r>
    <s v="Order-1114"/>
    <x v="15"/>
    <x v="2"/>
    <x v="0"/>
    <n v="3"/>
    <n v="230"/>
    <n v="690"/>
    <n v="0.06"/>
    <n v="41.4"/>
    <x v="2"/>
  </r>
  <r>
    <s v="Order-1115"/>
    <x v="15"/>
    <x v="4"/>
    <x v="2"/>
    <n v="20"/>
    <n v="150"/>
    <n v="3000"/>
    <n v="0.04"/>
    <n v="120"/>
    <x v="3"/>
  </r>
  <r>
    <s v="Order-1116"/>
    <x v="15"/>
    <x v="2"/>
    <x v="2"/>
    <n v="20"/>
    <n v="230"/>
    <n v="4600"/>
    <n v="0.06"/>
    <n v="276"/>
    <x v="4"/>
  </r>
  <r>
    <s v="Order-1117"/>
    <x v="15"/>
    <x v="3"/>
    <x v="2"/>
    <n v="14"/>
    <n v="16"/>
    <n v="224"/>
    <n v="0.01"/>
    <n v="2.2400000000000002"/>
    <x v="5"/>
  </r>
  <r>
    <s v="Order-1118"/>
    <x v="15"/>
    <x v="4"/>
    <x v="2"/>
    <n v="20"/>
    <n v="150"/>
    <n v="3000"/>
    <n v="0.04"/>
    <n v="120"/>
    <x v="1"/>
  </r>
  <r>
    <s v="Order-1119"/>
    <x v="15"/>
    <x v="0"/>
    <x v="0"/>
    <n v="17"/>
    <n v="80"/>
    <n v="1360"/>
    <n v="0.09"/>
    <n v="122.39999999999999"/>
    <x v="2"/>
  </r>
  <r>
    <s v="Order-1120"/>
    <x v="16"/>
    <x v="4"/>
    <x v="2"/>
    <n v="20"/>
    <n v="150"/>
    <n v="3000"/>
    <n v="0.12"/>
    <n v="360"/>
    <x v="3"/>
  </r>
  <r>
    <s v="Order-1121"/>
    <x v="16"/>
    <x v="3"/>
    <x v="2"/>
    <n v="11"/>
    <n v="16"/>
    <n v="176"/>
    <n v="0.04"/>
    <n v="7.04"/>
    <x v="4"/>
  </r>
  <r>
    <s v="Order-1122"/>
    <x v="16"/>
    <x v="2"/>
    <x v="4"/>
    <n v="7"/>
    <n v="230"/>
    <n v="1610"/>
    <n v="0.05"/>
    <n v="80.5"/>
    <x v="5"/>
  </r>
  <r>
    <s v="Order-1123"/>
    <x v="16"/>
    <x v="1"/>
    <x v="1"/>
    <n v="14"/>
    <n v="40"/>
    <n v="560"/>
    <n v="0.06"/>
    <n v="33.6"/>
    <x v="6"/>
  </r>
  <r>
    <s v="Order-1124"/>
    <x v="16"/>
    <x v="0"/>
    <x v="1"/>
    <n v="13"/>
    <n v="80"/>
    <n v="1040"/>
    <n v="0.06"/>
    <n v="62.4"/>
    <x v="7"/>
  </r>
  <r>
    <s v="Order-1125"/>
    <x v="16"/>
    <x v="3"/>
    <x v="2"/>
    <n v="17"/>
    <n v="16"/>
    <n v="272"/>
    <n v="0.05"/>
    <n v="13.600000000000001"/>
    <x v="8"/>
  </r>
  <r>
    <s v="Order-1126"/>
    <x v="16"/>
    <x v="2"/>
    <x v="2"/>
    <n v="12"/>
    <n v="230"/>
    <n v="2760"/>
    <n v="0.03"/>
    <n v="82.8"/>
    <x v="9"/>
  </r>
  <r>
    <s v="Order-1127"/>
    <x v="16"/>
    <x v="1"/>
    <x v="1"/>
    <n v="4"/>
    <n v="40"/>
    <n v="160"/>
    <n v="0.12"/>
    <n v="19.2"/>
    <x v="10"/>
  </r>
  <r>
    <s v="Order-1128"/>
    <x v="16"/>
    <x v="3"/>
    <x v="0"/>
    <n v="20"/>
    <n v="16"/>
    <n v="320"/>
    <n v="0.01"/>
    <n v="3.2"/>
    <x v="11"/>
  </r>
  <r>
    <s v="Order-1129"/>
    <x v="16"/>
    <x v="0"/>
    <x v="3"/>
    <n v="8"/>
    <n v="80"/>
    <n v="640"/>
    <n v="0.06"/>
    <n v="38.4"/>
    <x v="0"/>
  </r>
  <r>
    <s v="Order-1130"/>
    <x v="16"/>
    <x v="0"/>
    <x v="0"/>
    <n v="18"/>
    <n v="80"/>
    <n v="1440"/>
    <n v="0.02"/>
    <n v="28.8"/>
    <x v="1"/>
  </r>
  <r>
    <s v="Order-1131"/>
    <x v="16"/>
    <x v="3"/>
    <x v="2"/>
    <n v="6"/>
    <n v="16"/>
    <n v="96"/>
    <n v="0.06"/>
    <n v="5.76"/>
    <x v="2"/>
  </r>
  <r>
    <s v="Order-1132"/>
    <x v="16"/>
    <x v="0"/>
    <x v="0"/>
    <n v="9"/>
    <n v="80"/>
    <n v="720"/>
    <n v="0.04"/>
    <n v="28.8"/>
    <x v="3"/>
  </r>
  <r>
    <s v="Order-1133"/>
    <x v="17"/>
    <x v="0"/>
    <x v="2"/>
    <n v="8"/>
    <n v="80"/>
    <n v="640"/>
    <n v="0.02"/>
    <n v="12.8"/>
    <x v="4"/>
  </r>
  <r>
    <s v="Order-1134"/>
    <x v="17"/>
    <x v="4"/>
    <x v="3"/>
    <n v="6"/>
    <n v="150"/>
    <n v="900"/>
    <n v="0.03"/>
    <n v="27"/>
    <x v="5"/>
  </r>
  <r>
    <s v="Order-1135"/>
    <x v="17"/>
    <x v="3"/>
    <x v="3"/>
    <n v="14"/>
    <n v="16"/>
    <n v="224"/>
    <n v="0.12"/>
    <n v="26.88"/>
    <x v="1"/>
  </r>
  <r>
    <s v="Order-1136"/>
    <x v="17"/>
    <x v="0"/>
    <x v="2"/>
    <n v="6"/>
    <n v="80"/>
    <n v="480"/>
    <n v="0.09"/>
    <n v="43.199999999999996"/>
    <x v="2"/>
  </r>
  <r>
    <s v="Order-1137"/>
    <x v="17"/>
    <x v="1"/>
    <x v="4"/>
    <n v="23"/>
    <n v="40"/>
    <n v="920"/>
    <n v="0.04"/>
    <n v="36.800000000000004"/>
    <x v="3"/>
  </r>
  <r>
    <s v="Order-1138"/>
    <x v="17"/>
    <x v="1"/>
    <x v="2"/>
    <n v="12"/>
    <n v="40"/>
    <n v="480"/>
    <n v="0.02"/>
    <n v="9.6"/>
    <x v="4"/>
  </r>
  <r>
    <s v="Order-1139"/>
    <x v="17"/>
    <x v="1"/>
    <x v="3"/>
    <n v="22"/>
    <n v="40"/>
    <n v="880"/>
    <n v="0.01"/>
    <n v="8.8000000000000007"/>
    <x v="5"/>
  </r>
  <r>
    <s v="Order-1140"/>
    <x v="17"/>
    <x v="4"/>
    <x v="3"/>
    <n v="6"/>
    <n v="150"/>
    <n v="900"/>
    <n v="0.03"/>
    <n v="27"/>
    <x v="6"/>
  </r>
  <r>
    <s v="Order-1141"/>
    <x v="17"/>
    <x v="3"/>
    <x v="4"/>
    <n v="19"/>
    <n v="16"/>
    <n v="304"/>
    <n v="0.02"/>
    <n v="6.08"/>
    <x v="7"/>
  </r>
  <r>
    <s v="Order-1142"/>
    <x v="17"/>
    <x v="1"/>
    <x v="2"/>
    <n v="2"/>
    <n v="40"/>
    <n v="80"/>
    <n v="0.02"/>
    <n v="1.6"/>
    <x v="8"/>
  </r>
  <r>
    <s v="Order-1143"/>
    <x v="18"/>
    <x v="1"/>
    <x v="3"/>
    <n v="22"/>
    <n v="40"/>
    <n v="880"/>
    <n v="0.01"/>
    <n v="8.8000000000000007"/>
    <x v="9"/>
  </r>
  <r>
    <s v="Order-1144"/>
    <x v="18"/>
    <x v="2"/>
    <x v="3"/>
    <n v="3"/>
    <n v="230"/>
    <n v="690"/>
    <n v="0.01"/>
    <n v="6.9"/>
    <x v="10"/>
  </r>
  <r>
    <s v="Order-1145"/>
    <x v="18"/>
    <x v="1"/>
    <x v="3"/>
    <n v="23"/>
    <n v="40"/>
    <n v="920"/>
    <n v="0.06"/>
    <n v="55.199999999999996"/>
    <x v="11"/>
  </r>
  <r>
    <s v="Order-1146"/>
    <x v="18"/>
    <x v="1"/>
    <x v="4"/>
    <n v="5"/>
    <n v="40"/>
    <n v="200"/>
    <n v="0.03"/>
    <n v="6"/>
    <x v="0"/>
  </r>
  <r>
    <s v="Order-1147"/>
    <x v="18"/>
    <x v="0"/>
    <x v="0"/>
    <n v="8"/>
    <n v="80"/>
    <n v="640"/>
    <n v="0.08"/>
    <n v="51.2"/>
    <x v="1"/>
  </r>
  <r>
    <s v="Order-1148"/>
    <x v="18"/>
    <x v="1"/>
    <x v="2"/>
    <n v="18"/>
    <n v="40"/>
    <n v="720"/>
    <n v="0.03"/>
    <n v="21.599999999999998"/>
    <x v="2"/>
  </r>
  <r>
    <s v="Order-1149"/>
    <x v="18"/>
    <x v="1"/>
    <x v="4"/>
    <n v="20"/>
    <n v="40"/>
    <n v="800"/>
    <n v="0.1"/>
    <n v="80"/>
    <x v="3"/>
  </r>
  <r>
    <s v="Order-1150"/>
    <x v="18"/>
    <x v="1"/>
    <x v="2"/>
    <n v="2"/>
    <n v="40"/>
    <n v="80"/>
    <n v="0.03"/>
    <n v="2.4"/>
    <x v="4"/>
  </r>
  <r>
    <s v="Order-1151"/>
    <x v="18"/>
    <x v="2"/>
    <x v="0"/>
    <n v="15"/>
    <n v="230"/>
    <n v="3450"/>
    <n v="0.05"/>
    <n v="172.5"/>
    <x v="5"/>
  </r>
  <r>
    <s v="Order-1152"/>
    <x v="18"/>
    <x v="4"/>
    <x v="3"/>
    <n v="15"/>
    <n v="150"/>
    <n v="2250"/>
    <n v="0.08"/>
    <n v="180"/>
    <x v="1"/>
  </r>
  <r>
    <s v="Order-1153"/>
    <x v="18"/>
    <x v="4"/>
    <x v="3"/>
    <n v="22"/>
    <n v="150"/>
    <n v="3300"/>
    <n v="0.05"/>
    <n v="165"/>
    <x v="2"/>
  </r>
  <r>
    <s v="Order-1154"/>
    <x v="18"/>
    <x v="2"/>
    <x v="1"/>
    <n v="19"/>
    <n v="230"/>
    <n v="4370"/>
    <n v="0.11"/>
    <n v="480.7"/>
    <x v="3"/>
  </r>
  <r>
    <s v="Order-1155"/>
    <x v="18"/>
    <x v="0"/>
    <x v="1"/>
    <n v="10"/>
    <n v="80"/>
    <n v="800"/>
    <n v="0.11"/>
    <n v="88"/>
    <x v="4"/>
  </r>
  <r>
    <s v="Order-1156"/>
    <x v="18"/>
    <x v="1"/>
    <x v="3"/>
    <n v="18"/>
    <n v="40"/>
    <n v="720"/>
    <n v="0.06"/>
    <n v="43.199999999999996"/>
    <x v="5"/>
  </r>
  <r>
    <s v="Order-1157"/>
    <x v="18"/>
    <x v="0"/>
    <x v="3"/>
    <n v="16"/>
    <n v="80"/>
    <n v="1280"/>
    <n v="0.05"/>
    <n v="64"/>
    <x v="6"/>
  </r>
  <r>
    <s v="Order-1158"/>
    <x v="18"/>
    <x v="4"/>
    <x v="4"/>
    <n v="17"/>
    <n v="150"/>
    <n v="2550"/>
    <n v="0.02"/>
    <n v="51"/>
    <x v="7"/>
  </r>
  <r>
    <s v="Order-1159"/>
    <x v="19"/>
    <x v="2"/>
    <x v="0"/>
    <n v="8"/>
    <n v="230"/>
    <n v="1840"/>
    <n v="0.03"/>
    <n v="55.199999999999996"/>
    <x v="8"/>
  </r>
  <r>
    <s v="Order-1160"/>
    <x v="19"/>
    <x v="0"/>
    <x v="3"/>
    <n v="11"/>
    <n v="80"/>
    <n v="880"/>
    <n v="0.01"/>
    <n v="8.8000000000000007"/>
    <x v="9"/>
  </r>
  <r>
    <s v="Order-1161"/>
    <x v="19"/>
    <x v="1"/>
    <x v="0"/>
    <n v="5"/>
    <n v="40"/>
    <n v="200"/>
    <n v="0.06"/>
    <n v="12"/>
    <x v="10"/>
  </r>
  <r>
    <s v="Order-1162"/>
    <x v="19"/>
    <x v="1"/>
    <x v="4"/>
    <n v="11"/>
    <n v="40"/>
    <n v="440"/>
    <n v="0.05"/>
    <n v="22"/>
    <x v="11"/>
  </r>
  <r>
    <s v="Order-1163"/>
    <x v="19"/>
    <x v="4"/>
    <x v="3"/>
    <n v="20"/>
    <n v="150"/>
    <n v="3000"/>
    <n v="0.1"/>
    <n v="300"/>
    <x v="0"/>
  </r>
  <r>
    <s v="Order-1164"/>
    <x v="19"/>
    <x v="4"/>
    <x v="2"/>
    <n v="11"/>
    <n v="150"/>
    <n v="1650"/>
    <n v="0.11"/>
    <n v="181.5"/>
    <x v="1"/>
  </r>
  <r>
    <s v="Order-1165"/>
    <x v="19"/>
    <x v="0"/>
    <x v="3"/>
    <n v="2"/>
    <n v="80"/>
    <n v="160"/>
    <n v="0.08"/>
    <n v="12.8"/>
    <x v="2"/>
  </r>
  <r>
    <s v="Order-1166"/>
    <x v="19"/>
    <x v="4"/>
    <x v="1"/>
    <n v="16"/>
    <n v="150"/>
    <n v="2400"/>
    <n v="0.08"/>
    <n v="192"/>
    <x v="3"/>
  </r>
  <r>
    <s v="Order-1167"/>
    <x v="19"/>
    <x v="3"/>
    <x v="0"/>
    <n v="20"/>
    <n v="16"/>
    <n v="320"/>
    <n v="0.11"/>
    <n v="35.200000000000003"/>
    <x v="4"/>
  </r>
  <r>
    <s v="Order-1168"/>
    <x v="19"/>
    <x v="2"/>
    <x v="2"/>
    <n v="2"/>
    <n v="230"/>
    <n v="460"/>
    <n v="0.09"/>
    <n v="41.4"/>
    <x v="5"/>
  </r>
  <r>
    <s v="Order-1169"/>
    <x v="19"/>
    <x v="4"/>
    <x v="0"/>
    <n v="20"/>
    <n v="150"/>
    <n v="3000"/>
    <n v="0.04"/>
    <n v="120"/>
    <x v="1"/>
  </r>
  <r>
    <s v="Order-1170"/>
    <x v="19"/>
    <x v="4"/>
    <x v="0"/>
    <n v="22"/>
    <n v="150"/>
    <n v="3300"/>
    <n v="7.0000000000000007E-2"/>
    <n v="231.00000000000003"/>
    <x v="2"/>
  </r>
  <r>
    <s v="Order-1171"/>
    <x v="19"/>
    <x v="4"/>
    <x v="2"/>
    <n v="22"/>
    <n v="150"/>
    <n v="3300"/>
    <n v="0.04"/>
    <n v="132"/>
    <x v="3"/>
  </r>
  <r>
    <s v="Order-1172"/>
    <x v="19"/>
    <x v="1"/>
    <x v="0"/>
    <n v="23"/>
    <n v="40"/>
    <n v="920"/>
    <n v="7.0000000000000007E-2"/>
    <n v="64.400000000000006"/>
    <x v="4"/>
  </r>
  <r>
    <s v="Order-1173"/>
    <x v="20"/>
    <x v="3"/>
    <x v="2"/>
    <n v="11"/>
    <n v="16"/>
    <n v="176"/>
    <n v="0.04"/>
    <n v="7.04"/>
    <x v="5"/>
  </r>
  <r>
    <s v="Order-1174"/>
    <x v="20"/>
    <x v="2"/>
    <x v="1"/>
    <n v="11"/>
    <n v="230"/>
    <n v="2530"/>
    <n v="0.1"/>
    <n v="253"/>
    <x v="6"/>
  </r>
  <r>
    <s v="Order-1175"/>
    <x v="20"/>
    <x v="2"/>
    <x v="0"/>
    <n v="7"/>
    <n v="230"/>
    <n v="1610"/>
    <n v="0.08"/>
    <n v="128.80000000000001"/>
    <x v="7"/>
  </r>
  <r>
    <s v="Order-1176"/>
    <x v="20"/>
    <x v="2"/>
    <x v="3"/>
    <n v="16"/>
    <n v="230"/>
    <n v="3680"/>
    <n v="0.11"/>
    <n v="404.8"/>
    <x v="9"/>
  </r>
  <r>
    <s v="Order-1177"/>
    <x v="20"/>
    <x v="2"/>
    <x v="4"/>
    <n v="20"/>
    <n v="230"/>
    <n v="4600"/>
    <n v="0.09"/>
    <n v="414"/>
    <x v="10"/>
  </r>
  <r>
    <s v="Order-1178"/>
    <x v="20"/>
    <x v="1"/>
    <x v="2"/>
    <n v="20"/>
    <n v="40"/>
    <n v="800"/>
    <n v="0.01"/>
    <n v="8"/>
    <x v="11"/>
  </r>
  <r>
    <s v="Order-1179"/>
    <x v="20"/>
    <x v="0"/>
    <x v="0"/>
    <n v="20"/>
    <n v="80"/>
    <n v="1600"/>
    <n v="0.01"/>
    <n v="16"/>
    <x v="0"/>
  </r>
  <r>
    <s v="Order-1180"/>
    <x v="20"/>
    <x v="4"/>
    <x v="0"/>
    <n v="5"/>
    <n v="150"/>
    <n v="750"/>
    <n v="0.11"/>
    <n v="82.5"/>
    <x v="1"/>
  </r>
  <r>
    <s v="Order-1181"/>
    <x v="21"/>
    <x v="1"/>
    <x v="2"/>
    <n v="4"/>
    <n v="40"/>
    <n v="160"/>
    <n v="0.11"/>
    <n v="17.600000000000001"/>
    <x v="2"/>
  </r>
  <r>
    <s v="Order-1182"/>
    <x v="21"/>
    <x v="3"/>
    <x v="0"/>
    <n v="7"/>
    <n v="16"/>
    <n v="112"/>
    <n v="0.12"/>
    <n v="13.44"/>
    <x v="3"/>
  </r>
  <r>
    <s v="Order-1183"/>
    <x v="21"/>
    <x v="3"/>
    <x v="1"/>
    <n v="22"/>
    <n v="16"/>
    <n v="352"/>
    <n v="0.01"/>
    <n v="3.52"/>
    <x v="4"/>
  </r>
  <r>
    <s v="Order-1184"/>
    <x v="21"/>
    <x v="1"/>
    <x v="3"/>
    <n v="15"/>
    <n v="40"/>
    <n v="600"/>
    <n v="0.03"/>
    <n v="18"/>
    <x v="5"/>
  </r>
  <r>
    <s v="Order-1185"/>
    <x v="21"/>
    <x v="0"/>
    <x v="1"/>
    <n v="14"/>
    <n v="80"/>
    <n v="1120"/>
    <n v="0.11"/>
    <n v="123.2"/>
    <x v="1"/>
  </r>
  <r>
    <s v="Order-1186"/>
    <x v="21"/>
    <x v="3"/>
    <x v="1"/>
    <n v="15"/>
    <n v="16"/>
    <n v="240"/>
    <n v="0.02"/>
    <n v="4.8"/>
    <x v="2"/>
  </r>
  <r>
    <s v="Order-1187"/>
    <x v="22"/>
    <x v="0"/>
    <x v="3"/>
    <n v="19"/>
    <n v="80"/>
    <n v="1520"/>
    <n v="0.02"/>
    <n v="30.400000000000002"/>
    <x v="3"/>
  </r>
  <r>
    <s v="Order-1188"/>
    <x v="22"/>
    <x v="1"/>
    <x v="4"/>
    <n v="20"/>
    <n v="40"/>
    <n v="800"/>
    <n v="0.05"/>
    <n v="40"/>
    <x v="4"/>
  </r>
  <r>
    <s v="Order-1189"/>
    <x v="22"/>
    <x v="1"/>
    <x v="3"/>
    <n v="11"/>
    <n v="40"/>
    <n v="440"/>
    <n v="0.06"/>
    <n v="26.4"/>
    <x v="5"/>
  </r>
  <r>
    <s v="Order-1190"/>
    <x v="22"/>
    <x v="4"/>
    <x v="2"/>
    <n v="11"/>
    <n v="150"/>
    <n v="1650"/>
    <n v="0.05"/>
    <n v="82.5"/>
    <x v="6"/>
  </r>
  <r>
    <s v="Order-1191"/>
    <x v="22"/>
    <x v="0"/>
    <x v="3"/>
    <n v="23"/>
    <n v="80"/>
    <n v="1840"/>
    <n v="0.11"/>
    <n v="202.4"/>
    <x v="7"/>
  </r>
  <r>
    <s v="Order-1192"/>
    <x v="22"/>
    <x v="0"/>
    <x v="0"/>
    <n v="8"/>
    <n v="80"/>
    <n v="640"/>
    <n v="0.09"/>
    <n v="57.599999999999994"/>
    <x v="8"/>
  </r>
  <r>
    <s v="Order-1193"/>
    <x v="22"/>
    <x v="1"/>
    <x v="3"/>
    <n v="9"/>
    <n v="40"/>
    <n v="360"/>
    <n v="0.06"/>
    <n v="21.599999999999998"/>
    <x v="9"/>
  </r>
  <r>
    <s v="Order-1194"/>
    <x v="22"/>
    <x v="2"/>
    <x v="4"/>
    <n v="13"/>
    <n v="230"/>
    <n v="2990"/>
    <n v="0.06"/>
    <n v="179.4"/>
    <x v="10"/>
  </r>
  <r>
    <s v="Order-1195"/>
    <x v="22"/>
    <x v="1"/>
    <x v="3"/>
    <n v="22"/>
    <n v="40"/>
    <n v="880"/>
    <n v="0.01"/>
    <n v="8.8000000000000007"/>
    <x v="11"/>
  </r>
  <r>
    <s v="Order-1196"/>
    <x v="22"/>
    <x v="3"/>
    <x v="4"/>
    <n v="14"/>
    <n v="16"/>
    <n v="224"/>
    <n v="0.06"/>
    <n v="13.44"/>
    <x v="0"/>
  </r>
  <r>
    <s v="Order-1197"/>
    <x v="23"/>
    <x v="0"/>
    <x v="1"/>
    <n v="5"/>
    <n v="80"/>
    <n v="400"/>
    <n v="0.04"/>
    <n v="16"/>
    <x v="1"/>
  </r>
  <r>
    <s v="Order-1198"/>
    <x v="23"/>
    <x v="4"/>
    <x v="4"/>
    <n v="18"/>
    <n v="150"/>
    <n v="2700"/>
    <n v="0.12"/>
    <n v="324"/>
    <x v="2"/>
  </r>
  <r>
    <s v="Order-1199"/>
    <x v="23"/>
    <x v="2"/>
    <x v="2"/>
    <n v="14"/>
    <n v="230"/>
    <n v="3220"/>
    <n v="0.12"/>
    <n v="386.4"/>
    <x v="3"/>
  </r>
  <r>
    <s v="Order-1200"/>
    <x v="23"/>
    <x v="2"/>
    <x v="4"/>
    <n v="20"/>
    <n v="230"/>
    <n v="4600"/>
    <n v="0.11"/>
    <n v="506"/>
    <x v="4"/>
  </r>
  <r>
    <s v="Order-1201"/>
    <x v="23"/>
    <x v="3"/>
    <x v="4"/>
    <n v="3"/>
    <n v="16"/>
    <n v="48"/>
    <n v="0.03"/>
    <n v="1.44"/>
    <x v="5"/>
  </r>
  <r>
    <s v="Order-1202"/>
    <x v="23"/>
    <x v="2"/>
    <x v="2"/>
    <n v="20"/>
    <n v="230"/>
    <n v="4600"/>
    <n v="0.06"/>
    <n v="276"/>
    <x v="1"/>
  </r>
  <r>
    <s v="Order-1203"/>
    <x v="23"/>
    <x v="0"/>
    <x v="4"/>
    <n v="9"/>
    <n v="80"/>
    <n v="720"/>
    <n v="0.02"/>
    <n v="14.4"/>
    <x v="2"/>
  </r>
  <r>
    <s v="Order-1204"/>
    <x v="23"/>
    <x v="3"/>
    <x v="3"/>
    <n v="22"/>
    <n v="16"/>
    <n v="352"/>
    <n v="0.03"/>
    <n v="10.559999999999999"/>
    <x v="3"/>
  </r>
  <r>
    <s v="Order-1205"/>
    <x v="23"/>
    <x v="0"/>
    <x v="1"/>
    <n v="15"/>
    <n v="80"/>
    <n v="1200"/>
    <n v="0.12"/>
    <n v="144"/>
    <x v="4"/>
  </r>
  <r>
    <s v="Order-1206"/>
    <x v="23"/>
    <x v="4"/>
    <x v="0"/>
    <n v="11"/>
    <n v="150"/>
    <n v="1650"/>
    <n v="0.05"/>
    <n v="82.5"/>
    <x v="5"/>
  </r>
  <r>
    <s v="Order-1207"/>
    <x v="23"/>
    <x v="2"/>
    <x v="3"/>
    <n v="11"/>
    <n v="230"/>
    <n v="2530"/>
    <n v="0.12"/>
    <n v="303.59999999999997"/>
    <x v="6"/>
  </r>
  <r>
    <s v="Order-1208"/>
    <x v="23"/>
    <x v="4"/>
    <x v="0"/>
    <n v="20"/>
    <n v="150"/>
    <n v="3000"/>
    <n v="0.01"/>
    <n v="30"/>
    <x v="7"/>
  </r>
  <r>
    <s v="Order-1209"/>
    <x v="23"/>
    <x v="1"/>
    <x v="2"/>
    <n v="11"/>
    <n v="40"/>
    <n v="440"/>
    <n v="0.12"/>
    <n v="52.8"/>
    <x v="8"/>
  </r>
  <r>
    <s v="Order-1210"/>
    <x v="24"/>
    <x v="2"/>
    <x v="2"/>
    <n v="12"/>
    <n v="230"/>
    <n v="2760"/>
    <n v="0.06"/>
    <n v="165.6"/>
    <x v="9"/>
  </r>
  <r>
    <s v="Order-1211"/>
    <x v="24"/>
    <x v="1"/>
    <x v="0"/>
    <n v="15"/>
    <n v="40"/>
    <n v="600"/>
    <n v="0.06"/>
    <n v="36"/>
    <x v="10"/>
  </r>
  <r>
    <s v="Order-1212"/>
    <x v="24"/>
    <x v="1"/>
    <x v="3"/>
    <n v="13"/>
    <n v="40"/>
    <n v="520"/>
    <n v="0.09"/>
    <n v="46.8"/>
    <x v="11"/>
  </r>
  <r>
    <s v="Order-1213"/>
    <x v="24"/>
    <x v="1"/>
    <x v="4"/>
    <n v="4"/>
    <n v="40"/>
    <n v="160"/>
    <n v="0.09"/>
    <n v="14.399999999999999"/>
    <x v="0"/>
  </r>
  <r>
    <s v="Order-1214"/>
    <x v="24"/>
    <x v="2"/>
    <x v="3"/>
    <n v="18"/>
    <n v="230"/>
    <n v="4140"/>
    <n v="0.01"/>
    <n v="41.4"/>
    <x v="1"/>
  </r>
  <r>
    <s v="Order-1215"/>
    <x v="24"/>
    <x v="3"/>
    <x v="0"/>
    <n v="7"/>
    <n v="16"/>
    <n v="112"/>
    <n v="0.02"/>
    <n v="2.2400000000000002"/>
    <x v="2"/>
  </r>
  <r>
    <s v="Order-1216"/>
    <x v="24"/>
    <x v="3"/>
    <x v="2"/>
    <n v="6"/>
    <n v="16"/>
    <n v="96"/>
    <n v="7.0000000000000007E-2"/>
    <n v="6.7200000000000006"/>
    <x v="3"/>
  </r>
  <r>
    <s v="Order-1217"/>
    <x v="24"/>
    <x v="2"/>
    <x v="3"/>
    <n v="8"/>
    <n v="230"/>
    <n v="1840"/>
    <n v="0.05"/>
    <n v="92"/>
    <x v="4"/>
  </r>
  <r>
    <s v="Order-1218"/>
    <x v="24"/>
    <x v="3"/>
    <x v="2"/>
    <n v="12"/>
    <n v="16"/>
    <n v="192"/>
    <n v="0.11"/>
    <n v="21.12"/>
    <x v="5"/>
  </r>
  <r>
    <s v="Order-1219"/>
    <x v="24"/>
    <x v="2"/>
    <x v="0"/>
    <n v="11"/>
    <n v="230"/>
    <n v="2530"/>
    <n v="0.02"/>
    <n v="50.6"/>
    <x v="1"/>
  </r>
  <r>
    <s v="Order-1220"/>
    <x v="24"/>
    <x v="3"/>
    <x v="2"/>
    <n v="3"/>
    <n v="16"/>
    <n v="48"/>
    <n v="0.05"/>
    <n v="2.4000000000000004"/>
    <x v="2"/>
  </r>
  <r>
    <s v="Order-1221"/>
    <x v="25"/>
    <x v="4"/>
    <x v="1"/>
    <n v="16"/>
    <n v="150"/>
    <n v="2400"/>
    <n v="0.05"/>
    <n v="120"/>
    <x v="3"/>
  </r>
  <r>
    <s v="Order-1222"/>
    <x v="25"/>
    <x v="2"/>
    <x v="3"/>
    <n v="8"/>
    <n v="230"/>
    <n v="1840"/>
    <n v="0.01"/>
    <n v="18.400000000000002"/>
    <x v="4"/>
  </r>
  <r>
    <s v="Order-1223"/>
    <x v="25"/>
    <x v="0"/>
    <x v="2"/>
    <n v="16"/>
    <n v="80"/>
    <n v="1280"/>
    <n v="0.04"/>
    <n v="51.2"/>
    <x v="5"/>
  </r>
  <r>
    <s v="Order-1224"/>
    <x v="25"/>
    <x v="3"/>
    <x v="3"/>
    <n v="18"/>
    <n v="16"/>
    <n v="288"/>
    <n v="0.04"/>
    <n v="11.52"/>
    <x v="6"/>
  </r>
  <r>
    <s v="Order-1225"/>
    <x v="25"/>
    <x v="1"/>
    <x v="4"/>
    <n v="14"/>
    <n v="40"/>
    <n v="560"/>
    <n v="0.11"/>
    <n v="61.6"/>
    <x v="7"/>
  </r>
  <r>
    <s v="Order-1226"/>
    <x v="25"/>
    <x v="3"/>
    <x v="1"/>
    <n v="21"/>
    <n v="16"/>
    <n v="336"/>
    <n v="0.02"/>
    <n v="6.72"/>
    <x v="8"/>
  </r>
  <r>
    <s v="Order-1227"/>
    <x v="25"/>
    <x v="3"/>
    <x v="1"/>
    <n v="7"/>
    <n v="16"/>
    <n v="112"/>
    <n v="0.08"/>
    <n v="8.9600000000000009"/>
    <x v="9"/>
  </r>
  <r>
    <s v="Order-1228"/>
    <x v="25"/>
    <x v="0"/>
    <x v="2"/>
    <n v="7"/>
    <n v="80"/>
    <n v="560"/>
    <n v="0.05"/>
    <n v="28"/>
    <x v="10"/>
  </r>
  <r>
    <s v="Order-1229"/>
    <x v="25"/>
    <x v="1"/>
    <x v="4"/>
    <n v="16"/>
    <n v="40"/>
    <n v="640"/>
    <n v="0.09"/>
    <n v="57.599999999999994"/>
    <x v="11"/>
  </r>
  <r>
    <s v="Order-1230"/>
    <x v="25"/>
    <x v="2"/>
    <x v="4"/>
    <n v="22"/>
    <n v="230"/>
    <n v="5060"/>
    <n v="0.1"/>
    <n v="506"/>
    <x v="0"/>
  </r>
  <r>
    <s v="Order-1231"/>
    <x v="25"/>
    <x v="1"/>
    <x v="1"/>
    <n v="4"/>
    <n v="40"/>
    <n v="160"/>
    <n v="0.03"/>
    <n v="4.8"/>
    <x v="1"/>
  </r>
  <r>
    <s v="Order-1232"/>
    <x v="25"/>
    <x v="2"/>
    <x v="4"/>
    <n v="3"/>
    <n v="230"/>
    <n v="690"/>
    <n v="0.1"/>
    <n v="69"/>
    <x v="2"/>
  </r>
  <r>
    <s v="Order-1233"/>
    <x v="25"/>
    <x v="0"/>
    <x v="1"/>
    <n v="14"/>
    <n v="80"/>
    <n v="1120"/>
    <n v="0.11"/>
    <n v="123.2"/>
    <x v="3"/>
  </r>
  <r>
    <s v="Order-1234"/>
    <x v="26"/>
    <x v="1"/>
    <x v="4"/>
    <n v="21"/>
    <n v="40"/>
    <n v="840"/>
    <n v="0.01"/>
    <n v="8.4"/>
    <x v="4"/>
  </r>
  <r>
    <s v="Order-1235"/>
    <x v="26"/>
    <x v="3"/>
    <x v="1"/>
    <n v="20"/>
    <n v="16"/>
    <n v="320"/>
    <n v="0.06"/>
    <n v="19.2"/>
    <x v="5"/>
  </r>
  <r>
    <s v="Order-1236"/>
    <x v="26"/>
    <x v="0"/>
    <x v="4"/>
    <n v="22"/>
    <n v="80"/>
    <n v="1760"/>
    <n v="0.11"/>
    <n v="193.6"/>
    <x v="1"/>
  </r>
  <r>
    <s v="Order-1237"/>
    <x v="26"/>
    <x v="1"/>
    <x v="0"/>
    <n v="7"/>
    <n v="40"/>
    <n v="280"/>
    <n v="0.1"/>
    <n v="28"/>
    <x v="2"/>
  </r>
  <r>
    <s v="Order-1238"/>
    <x v="26"/>
    <x v="4"/>
    <x v="1"/>
    <n v="16"/>
    <n v="150"/>
    <n v="2400"/>
    <n v="0.05"/>
    <n v="120"/>
    <x v="3"/>
  </r>
  <r>
    <s v="Order-1239"/>
    <x v="26"/>
    <x v="2"/>
    <x v="1"/>
    <n v="7"/>
    <n v="230"/>
    <n v="1610"/>
    <n v="0.05"/>
    <n v="80.5"/>
    <x v="4"/>
  </r>
  <r>
    <s v="Order-1240"/>
    <x v="26"/>
    <x v="4"/>
    <x v="0"/>
    <n v="20"/>
    <n v="150"/>
    <n v="3000"/>
    <n v="0.03"/>
    <n v="90"/>
    <x v="5"/>
  </r>
  <r>
    <s v="Order-1241"/>
    <x v="26"/>
    <x v="4"/>
    <x v="1"/>
    <n v="16"/>
    <n v="150"/>
    <n v="2400"/>
    <n v="0.03"/>
    <n v="72"/>
    <x v="6"/>
  </r>
  <r>
    <s v="Order-1242"/>
    <x v="26"/>
    <x v="3"/>
    <x v="3"/>
    <n v="10"/>
    <n v="16"/>
    <n v="160"/>
    <n v="0.04"/>
    <n v="6.4"/>
    <x v="7"/>
  </r>
  <r>
    <s v="Order-1243"/>
    <x v="26"/>
    <x v="0"/>
    <x v="4"/>
    <n v="6"/>
    <n v="80"/>
    <n v="480"/>
    <n v="0.09"/>
    <n v="43.199999999999996"/>
    <x v="8"/>
  </r>
  <r>
    <s v="Order-1244"/>
    <x v="26"/>
    <x v="0"/>
    <x v="0"/>
    <n v="17"/>
    <n v="80"/>
    <n v="1360"/>
    <n v="0.09"/>
    <n v="122.39999999999999"/>
    <x v="9"/>
  </r>
  <r>
    <s v="Order-1245"/>
    <x v="26"/>
    <x v="1"/>
    <x v="0"/>
    <n v="19"/>
    <n v="40"/>
    <n v="760"/>
    <n v="0.04"/>
    <n v="30.400000000000002"/>
    <x v="10"/>
  </r>
  <r>
    <s v="Order-1246"/>
    <x v="26"/>
    <x v="1"/>
    <x v="4"/>
    <n v="16"/>
    <n v="40"/>
    <n v="640"/>
    <n v="0.09"/>
    <n v="57.599999999999994"/>
    <x v="11"/>
  </r>
  <r>
    <s v="Order-1247"/>
    <x v="26"/>
    <x v="3"/>
    <x v="0"/>
    <n v="4"/>
    <n v="16"/>
    <n v="64"/>
    <n v="0.12"/>
    <n v="7.68"/>
    <x v="0"/>
  </r>
  <r>
    <s v="Order-1248"/>
    <x v="26"/>
    <x v="4"/>
    <x v="3"/>
    <n v="9"/>
    <n v="150"/>
    <n v="1350"/>
    <n v="0.02"/>
    <n v="27"/>
    <x v="1"/>
  </r>
  <r>
    <s v="Order-1249"/>
    <x v="26"/>
    <x v="3"/>
    <x v="0"/>
    <n v="11"/>
    <n v="16"/>
    <n v="176"/>
    <n v="0.09"/>
    <n v="15.84"/>
    <x v="2"/>
  </r>
  <r>
    <s v="Order-1250"/>
    <x v="26"/>
    <x v="0"/>
    <x v="1"/>
    <n v="17"/>
    <n v="80"/>
    <n v="1360"/>
    <n v="0.03"/>
    <n v="40.799999999999997"/>
    <x v="3"/>
  </r>
  <r>
    <s v="Order-1251"/>
    <x v="27"/>
    <x v="4"/>
    <x v="0"/>
    <n v="3"/>
    <n v="150"/>
    <n v="450"/>
    <n v="0.03"/>
    <n v="13.5"/>
    <x v="4"/>
  </r>
  <r>
    <s v="Order-1252"/>
    <x v="27"/>
    <x v="2"/>
    <x v="3"/>
    <n v="2"/>
    <n v="230"/>
    <n v="460"/>
    <n v="0.08"/>
    <n v="36.800000000000004"/>
    <x v="5"/>
  </r>
  <r>
    <s v="Order-1253"/>
    <x v="27"/>
    <x v="2"/>
    <x v="3"/>
    <n v="17"/>
    <n v="230"/>
    <n v="3910"/>
    <n v="0.12"/>
    <n v="469.2"/>
    <x v="1"/>
  </r>
  <r>
    <s v="Order-1254"/>
    <x v="27"/>
    <x v="4"/>
    <x v="1"/>
    <n v="2"/>
    <n v="150"/>
    <n v="300"/>
    <n v="0.09"/>
    <n v="27"/>
    <x v="2"/>
  </r>
  <r>
    <s v="Order-1255"/>
    <x v="27"/>
    <x v="1"/>
    <x v="3"/>
    <n v="18"/>
    <n v="40"/>
    <n v="720"/>
    <n v="0.06"/>
    <n v="43.199999999999996"/>
    <x v="3"/>
  </r>
  <r>
    <s v="Order-1256"/>
    <x v="27"/>
    <x v="4"/>
    <x v="2"/>
    <n v="18"/>
    <n v="150"/>
    <n v="2700"/>
    <n v="0.06"/>
    <n v="162"/>
    <x v="4"/>
  </r>
  <r>
    <s v="Order-1257"/>
    <x v="27"/>
    <x v="1"/>
    <x v="1"/>
    <n v="12"/>
    <n v="40"/>
    <n v="480"/>
    <n v="0.1"/>
    <n v="48"/>
    <x v="5"/>
  </r>
  <r>
    <s v="Order-1258"/>
    <x v="27"/>
    <x v="0"/>
    <x v="0"/>
    <n v="21"/>
    <n v="80"/>
    <n v="1680"/>
    <n v="0.04"/>
    <n v="67.2"/>
    <x v="6"/>
  </r>
  <r>
    <s v="Order-1259"/>
    <x v="27"/>
    <x v="1"/>
    <x v="4"/>
    <n v="3"/>
    <n v="40"/>
    <n v="120"/>
    <n v="0.03"/>
    <n v="3.5999999999999996"/>
    <x v="7"/>
  </r>
  <r>
    <s v="Order-1260"/>
    <x v="27"/>
    <x v="0"/>
    <x v="4"/>
    <n v="22"/>
    <n v="80"/>
    <n v="1760"/>
    <n v="0.1"/>
    <n v="176"/>
    <x v="8"/>
  </r>
  <r>
    <s v="Order-1261"/>
    <x v="27"/>
    <x v="1"/>
    <x v="4"/>
    <n v="16"/>
    <n v="40"/>
    <n v="640"/>
    <n v="0.11"/>
    <n v="70.400000000000006"/>
    <x v="9"/>
  </r>
  <r>
    <s v="Order-1262"/>
    <x v="27"/>
    <x v="3"/>
    <x v="0"/>
    <n v="11"/>
    <n v="16"/>
    <n v="176"/>
    <n v="0.09"/>
    <n v="15.84"/>
    <x v="10"/>
  </r>
  <r>
    <s v="Order-1263"/>
    <x v="28"/>
    <x v="0"/>
    <x v="2"/>
    <n v="10"/>
    <n v="80"/>
    <n v="800"/>
    <n v="0.08"/>
    <n v="64"/>
    <x v="11"/>
  </r>
  <r>
    <s v="Order-1264"/>
    <x v="28"/>
    <x v="3"/>
    <x v="2"/>
    <n v="12"/>
    <n v="16"/>
    <n v="192"/>
    <n v="0.03"/>
    <n v="5.76"/>
    <x v="0"/>
  </r>
  <r>
    <s v="Order-1265"/>
    <x v="28"/>
    <x v="4"/>
    <x v="0"/>
    <n v="8"/>
    <n v="150"/>
    <n v="1200"/>
    <n v="0.09"/>
    <n v="108"/>
    <x v="1"/>
  </r>
  <r>
    <s v="Order-1266"/>
    <x v="28"/>
    <x v="1"/>
    <x v="4"/>
    <n v="10"/>
    <n v="40"/>
    <n v="400"/>
    <n v="0.03"/>
    <n v="12"/>
    <x v="2"/>
  </r>
  <r>
    <s v="Order-1267"/>
    <x v="28"/>
    <x v="4"/>
    <x v="0"/>
    <n v="7"/>
    <n v="150"/>
    <n v="1050"/>
    <n v="0.02"/>
    <n v="21"/>
    <x v="3"/>
  </r>
  <r>
    <s v="Order-1268"/>
    <x v="28"/>
    <x v="3"/>
    <x v="2"/>
    <n v="6"/>
    <n v="16"/>
    <n v="96"/>
    <n v="0.01"/>
    <n v="0.96"/>
    <x v="4"/>
  </r>
  <r>
    <s v="Order-1269"/>
    <x v="28"/>
    <x v="0"/>
    <x v="3"/>
    <n v="15"/>
    <n v="80"/>
    <n v="1200"/>
    <n v="0.08"/>
    <n v="96"/>
    <x v="5"/>
  </r>
  <r>
    <s v="Order-1270"/>
    <x v="28"/>
    <x v="3"/>
    <x v="4"/>
    <n v="13"/>
    <n v="16"/>
    <n v="208"/>
    <n v="7.0000000000000007E-2"/>
    <n v="14.560000000000002"/>
    <x v="1"/>
  </r>
  <r>
    <s v="Order-1271"/>
    <x v="28"/>
    <x v="2"/>
    <x v="3"/>
    <n v="19"/>
    <n v="230"/>
    <n v="4370"/>
    <n v="0.06"/>
    <n v="262.2"/>
    <x v="2"/>
  </r>
  <r>
    <s v="Order-1272"/>
    <x v="28"/>
    <x v="0"/>
    <x v="3"/>
    <n v="21"/>
    <n v="80"/>
    <n v="1680"/>
    <n v="0.05"/>
    <n v="84"/>
    <x v="3"/>
  </r>
  <r>
    <s v="Order-1273"/>
    <x v="28"/>
    <x v="0"/>
    <x v="1"/>
    <n v="5"/>
    <n v="80"/>
    <n v="400"/>
    <n v="7.0000000000000007E-2"/>
    <n v="28.000000000000004"/>
    <x v="4"/>
  </r>
  <r>
    <s v="Order-1274"/>
    <x v="28"/>
    <x v="3"/>
    <x v="2"/>
    <n v="8"/>
    <n v="16"/>
    <n v="128"/>
    <n v="0.03"/>
    <n v="3.84"/>
    <x v="5"/>
  </r>
  <r>
    <s v="Order-1275"/>
    <x v="28"/>
    <x v="3"/>
    <x v="2"/>
    <n v="12"/>
    <n v="16"/>
    <n v="192"/>
    <n v="0.11"/>
    <n v="21.12"/>
    <x v="6"/>
  </r>
  <r>
    <s v="Order-1276"/>
    <x v="28"/>
    <x v="0"/>
    <x v="3"/>
    <n v="22"/>
    <n v="80"/>
    <n v="1760"/>
    <n v="0.03"/>
    <n v="52.8"/>
    <x v="7"/>
  </r>
  <r>
    <s v="Order-1277"/>
    <x v="28"/>
    <x v="1"/>
    <x v="0"/>
    <n v="5"/>
    <n v="40"/>
    <n v="200"/>
    <n v="0.09"/>
    <n v="18"/>
    <x v="8"/>
  </r>
  <r>
    <s v="Order-1278"/>
    <x v="29"/>
    <x v="4"/>
    <x v="1"/>
    <n v="23"/>
    <n v="150"/>
    <n v="3450"/>
    <n v="0.11"/>
    <n v="379.5"/>
    <x v="9"/>
  </r>
  <r>
    <s v="Order-1279"/>
    <x v="29"/>
    <x v="0"/>
    <x v="0"/>
    <n v="16"/>
    <n v="80"/>
    <n v="1280"/>
    <n v="0.03"/>
    <n v="38.4"/>
    <x v="10"/>
  </r>
  <r>
    <s v="Order-1280"/>
    <x v="29"/>
    <x v="4"/>
    <x v="4"/>
    <n v="15"/>
    <n v="150"/>
    <n v="2250"/>
    <n v="7.0000000000000007E-2"/>
    <n v="157.50000000000003"/>
    <x v="11"/>
  </r>
  <r>
    <s v="Order-1281"/>
    <x v="29"/>
    <x v="1"/>
    <x v="0"/>
    <n v="20"/>
    <n v="40"/>
    <n v="800"/>
    <n v="0.04"/>
    <n v="32"/>
    <x v="0"/>
  </r>
  <r>
    <s v="Order-1282"/>
    <x v="29"/>
    <x v="2"/>
    <x v="2"/>
    <n v="10"/>
    <n v="230"/>
    <n v="2300"/>
    <n v="0.02"/>
    <n v="46"/>
    <x v="1"/>
  </r>
  <r>
    <s v="Order-1283"/>
    <x v="29"/>
    <x v="0"/>
    <x v="1"/>
    <n v="9"/>
    <n v="80"/>
    <n v="720"/>
    <n v="0.03"/>
    <n v="21.599999999999998"/>
    <x v="2"/>
  </r>
  <r>
    <s v="Order-1284"/>
    <x v="29"/>
    <x v="2"/>
    <x v="0"/>
    <n v="16"/>
    <n v="230"/>
    <n v="3680"/>
    <n v="7.0000000000000007E-2"/>
    <n v="257.60000000000002"/>
    <x v="3"/>
  </r>
  <r>
    <s v="Order-1285"/>
    <x v="29"/>
    <x v="0"/>
    <x v="1"/>
    <n v="21"/>
    <n v="80"/>
    <n v="1680"/>
    <n v="0.04"/>
    <n v="67.2"/>
    <x v="4"/>
  </r>
  <r>
    <s v="Order-1286"/>
    <x v="29"/>
    <x v="0"/>
    <x v="1"/>
    <n v="9"/>
    <n v="80"/>
    <n v="720"/>
    <n v="0.03"/>
    <n v="21.599999999999998"/>
    <x v="5"/>
  </r>
  <r>
    <s v="Order-1287"/>
    <x v="29"/>
    <x v="1"/>
    <x v="1"/>
    <n v="4"/>
    <n v="40"/>
    <n v="160"/>
    <n v="0.12"/>
    <n v="19.2"/>
    <x v="1"/>
  </r>
  <r>
    <s v="Order-1288"/>
    <x v="29"/>
    <x v="2"/>
    <x v="2"/>
    <n v="5"/>
    <n v="230"/>
    <n v="1150"/>
    <n v="0.01"/>
    <n v="11.5"/>
    <x v="2"/>
  </r>
  <r>
    <s v="Order-1289"/>
    <x v="29"/>
    <x v="3"/>
    <x v="0"/>
    <n v="18"/>
    <n v="16"/>
    <n v="288"/>
    <n v="0.05"/>
    <n v="14.4"/>
    <x v="3"/>
  </r>
  <r>
    <s v="Order-1290"/>
    <x v="30"/>
    <x v="0"/>
    <x v="2"/>
    <n v="6"/>
    <n v="80"/>
    <n v="480"/>
    <n v="0.01"/>
    <n v="4.8"/>
    <x v="4"/>
  </r>
  <r>
    <s v="Order-1291"/>
    <x v="30"/>
    <x v="4"/>
    <x v="4"/>
    <n v="4"/>
    <n v="150"/>
    <n v="600"/>
    <n v="0.05"/>
    <n v="30"/>
    <x v="5"/>
  </r>
  <r>
    <s v="Order-1292"/>
    <x v="30"/>
    <x v="2"/>
    <x v="4"/>
    <n v="21"/>
    <n v="230"/>
    <n v="4830"/>
    <n v="0.05"/>
    <n v="241.5"/>
    <x v="6"/>
  </r>
  <r>
    <s v="Order-1293"/>
    <x v="30"/>
    <x v="4"/>
    <x v="0"/>
    <n v="4"/>
    <n v="150"/>
    <n v="600"/>
    <n v="0.06"/>
    <n v="36"/>
    <x v="7"/>
  </r>
  <r>
    <s v="Order-1294"/>
    <x v="30"/>
    <x v="0"/>
    <x v="1"/>
    <n v="2"/>
    <n v="80"/>
    <n v="160"/>
    <n v="0.04"/>
    <n v="6.4"/>
    <x v="8"/>
  </r>
  <r>
    <s v="Order-1295"/>
    <x v="30"/>
    <x v="3"/>
    <x v="1"/>
    <n v="5"/>
    <n v="16"/>
    <n v="80"/>
    <n v="0.11"/>
    <n v="8.8000000000000007"/>
    <x v="9"/>
  </r>
  <r>
    <s v="Order-1296"/>
    <x v="30"/>
    <x v="4"/>
    <x v="4"/>
    <n v="23"/>
    <n v="150"/>
    <n v="3450"/>
    <n v="0.08"/>
    <n v="276"/>
    <x v="10"/>
  </r>
  <r>
    <s v="Order-1297"/>
    <x v="30"/>
    <x v="0"/>
    <x v="1"/>
    <n v="3"/>
    <n v="80"/>
    <n v="240"/>
    <n v="0.02"/>
    <n v="4.8"/>
    <x v="11"/>
  </r>
  <r>
    <s v="Order-1298"/>
    <x v="30"/>
    <x v="2"/>
    <x v="4"/>
    <n v="17"/>
    <n v="230"/>
    <n v="3910"/>
    <n v="0.11"/>
    <n v="430.1"/>
    <x v="0"/>
  </r>
  <r>
    <s v="Order-1299"/>
    <x v="30"/>
    <x v="1"/>
    <x v="2"/>
    <n v="11"/>
    <n v="40"/>
    <n v="440"/>
    <n v="0.05"/>
    <n v="22"/>
    <x v="1"/>
  </r>
  <r>
    <s v="Order-1300"/>
    <x v="30"/>
    <x v="1"/>
    <x v="2"/>
    <n v="13"/>
    <n v="40"/>
    <n v="520"/>
    <n v="0.02"/>
    <n v="10.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468872-FCEB-4E5C-BFBF-B0796E7D04D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G33" firstHeaderRow="1" firstDataRow="1" firstDataCol="1"/>
  <pivotFields count="10">
    <pivotField showAll="0"/>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dataField="1" showAll="0"/>
    <pivotField showAll="0"/>
    <pivotField showAll="0"/>
    <pivotField showAll="0"/>
    <pivotField showAll="0"/>
    <pivotField axis="axisRow" showAll="0">
      <items count="13">
        <item x="5"/>
        <item x="3"/>
        <item x="6"/>
        <item x="8"/>
        <item x="10"/>
        <item x="9"/>
        <item x="7"/>
        <item x="11"/>
        <item x="2"/>
        <item x="0"/>
        <item x="1"/>
        <item x="4"/>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5DD8D7-6659-4B03-A346-64C42030A9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dataField="1" showAll="0"/>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showAll="0">
      <items count="13">
        <item x="5"/>
        <item x="3"/>
        <item x="6"/>
        <item x="8"/>
        <item x="10"/>
        <item x="9"/>
        <item x="7"/>
        <item x="11"/>
        <item x="2"/>
        <item x="0"/>
        <item x="1"/>
        <item x="4"/>
        <item t="default"/>
      </items>
    </pivotField>
  </pivotFields>
  <rowItems count="1">
    <i/>
  </rowItems>
  <colItems count="1">
    <i/>
  </colItems>
  <dataFields count="1">
    <dataField name="Count of Order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483864-7331-46F3-A445-8D41CE4F0EE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10">
    <pivotField showAll="0"/>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dataField="1" showAll="0"/>
    <pivotField showAll="0">
      <items count="13">
        <item x="5"/>
        <item x="3"/>
        <item x="6"/>
        <item x="8"/>
        <item x="10"/>
        <item x="9"/>
        <item x="7"/>
        <item x="11"/>
        <item x="2"/>
        <item x="0"/>
        <item x="1"/>
        <item x="4"/>
        <item t="default"/>
      </items>
    </pivotField>
  </pivotFields>
  <rowItems count="1">
    <i/>
  </rowItems>
  <colItems count="1">
    <i/>
  </colItems>
  <dataFields count="1">
    <dataField name="Sum of Total Value (With Commisio)"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E8C99D-F570-4C13-8509-C19AA5A3B22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6:C72" firstHeaderRow="0" firstDataRow="1" firstDataCol="1"/>
  <pivotFields count="10">
    <pivotField showAll="0"/>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items count="6">
        <item x="3"/>
        <item x="2"/>
        <item x="0"/>
        <item x="4"/>
        <item x="1"/>
        <item t="default"/>
      </items>
    </pivotField>
    <pivotField axis="axisRow" showAll="0">
      <items count="6">
        <item x="4"/>
        <item x="0"/>
        <item x="2"/>
        <item x="1"/>
        <item x="3"/>
        <item t="default"/>
      </items>
    </pivotField>
    <pivotField showAll="0"/>
    <pivotField showAll="0"/>
    <pivotField showAll="0"/>
    <pivotField showAll="0"/>
    <pivotField dataField="1" showAll="0"/>
    <pivotField showAll="0">
      <items count="13">
        <item x="5"/>
        <item x="3"/>
        <item x="6"/>
        <item x="8"/>
        <item x="10"/>
        <item x="9"/>
        <item x="7"/>
        <item x="11"/>
        <item x="2"/>
        <item x="0"/>
        <item x="1"/>
        <item x="4"/>
        <item t="default"/>
      </items>
    </pivotField>
  </pivotFields>
  <rowFields count="1">
    <field x="3"/>
  </rowFields>
  <rowItems count="6">
    <i>
      <x/>
    </i>
    <i>
      <x v="1"/>
    </i>
    <i>
      <x v="2"/>
    </i>
    <i>
      <x v="3"/>
    </i>
    <i>
      <x v="4"/>
    </i>
    <i t="grand">
      <x/>
    </i>
  </rowItems>
  <colFields count="1">
    <field x="-2"/>
  </colFields>
  <colItems count="2">
    <i>
      <x/>
    </i>
    <i i="1">
      <x v="1"/>
    </i>
  </colItems>
  <dataFields count="2">
    <dataField name="Count of Item" fld="2" subtotal="count" baseField="0" baseItem="0"/>
    <dataField name="Sum of Total Value (With Commisio)" fld="8"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D0BEE7-4B37-4589-8F48-F23283A7BD8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B63" firstHeaderRow="1" firstDataRow="1" firstDataCol="1"/>
  <pivotFields count="10">
    <pivotField showAll="0"/>
    <pivotField axis="axisRow"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dataField="1" showAll="0"/>
    <pivotField showAll="0"/>
    <pivotField showAll="0"/>
    <pivotField showAll="0"/>
    <pivotField showAll="0"/>
    <pivotField showAll="0">
      <items count="13">
        <item x="5"/>
        <item x="3"/>
        <item x="6"/>
        <item x="8"/>
        <item x="10"/>
        <item x="9"/>
        <item x="7"/>
        <item x="11"/>
        <item x="2"/>
        <item x="0"/>
        <item x="1"/>
        <item x="4"/>
        <item t="default"/>
      </items>
    </pivotField>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45F084-787C-4404-92BA-7D96116EE0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10">
    <pivotField showAll="0"/>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showAll="0"/>
    <pivotField showAll="0"/>
    <pivotField dataField="1" showAll="0"/>
    <pivotField showAll="0"/>
    <pivotField showAll="0"/>
    <pivotField showAll="0">
      <items count="13">
        <item x="5"/>
        <item x="3"/>
        <item x="6"/>
        <item x="8"/>
        <item x="10"/>
        <item x="9"/>
        <item x="7"/>
        <item x="11"/>
        <item x="2"/>
        <item x="0"/>
        <item x="1"/>
        <item x="4"/>
        <item t="default"/>
      </items>
    </pivotField>
  </pivotFields>
  <rowItems count="1">
    <i/>
  </rowItems>
  <colItems count="1">
    <i/>
  </colItems>
  <dataFields count="1">
    <dataField name="Sum of Total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6A10EC-4EE1-438C-85CB-1FC8A8A4FE9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B12" firstHeaderRow="1" firstDataRow="1" firstDataCol="1"/>
  <pivotFields count="10">
    <pivotField dataField="1" showAll="0"/>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showAll="0">
      <items count="13">
        <item x="5"/>
        <item x="3"/>
        <item x="6"/>
        <item x="8"/>
        <item x="10"/>
        <item x="9"/>
        <item x="7"/>
        <item x="11"/>
        <item x="2"/>
        <item x="0"/>
        <item x="1"/>
        <item x="4"/>
        <item t="default"/>
      </items>
    </pivotField>
  </pivotFields>
  <rowFields count="1">
    <field x="2"/>
  </rowFields>
  <rowItems count="6">
    <i>
      <x/>
    </i>
    <i>
      <x v="1"/>
    </i>
    <i>
      <x v="2"/>
    </i>
    <i>
      <x v="3"/>
    </i>
    <i>
      <x v="4"/>
    </i>
    <i t="grand">
      <x/>
    </i>
  </rowItems>
  <colItems count="1">
    <i/>
  </colItems>
  <dataFields count="1">
    <dataField name="Count of Order No" fld="0" subtotal="count" baseField="0" baseItem="0"/>
  </dataFields>
  <chartFormats count="18">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2" count="1" selected="0">
            <x v="0"/>
          </reference>
        </references>
      </pivotArea>
    </chartFormat>
    <chartFormat chart="9" format="3">
      <pivotArea type="data" outline="0" fieldPosition="0">
        <references count="2">
          <reference field="4294967294" count="1" selected="0">
            <x v="0"/>
          </reference>
          <reference field="2" count="1" selected="0">
            <x v="1"/>
          </reference>
        </references>
      </pivotArea>
    </chartFormat>
    <chartFormat chart="9" format="4">
      <pivotArea type="data" outline="0" fieldPosition="0">
        <references count="2">
          <reference field="4294967294" count="1" selected="0">
            <x v="0"/>
          </reference>
          <reference field="2" count="1" selected="0">
            <x v="2"/>
          </reference>
        </references>
      </pivotArea>
    </chartFormat>
    <chartFormat chart="9" format="5">
      <pivotArea type="data" outline="0" fieldPosition="0">
        <references count="2">
          <reference field="4294967294" count="1" selected="0">
            <x v="0"/>
          </reference>
          <reference field="2" count="1" selected="0">
            <x v="3"/>
          </reference>
        </references>
      </pivotArea>
    </chartFormat>
    <chartFormat chart="9" format="6">
      <pivotArea type="data" outline="0" fieldPosition="0">
        <references count="2">
          <reference field="4294967294" count="1" selected="0">
            <x v="0"/>
          </reference>
          <reference field="2" count="1" selected="0">
            <x v="4"/>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2" count="1" selected="0">
            <x v="0"/>
          </reference>
        </references>
      </pivotArea>
    </chartFormat>
    <chartFormat chart="10" format="9">
      <pivotArea type="data" outline="0" fieldPosition="0">
        <references count="2">
          <reference field="4294967294" count="1" selected="0">
            <x v="0"/>
          </reference>
          <reference field="2" count="1" selected="0">
            <x v="1"/>
          </reference>
        </references>
      </pivotArea>
    </chartFormat>
    <chartFormat chart="10" format="10">
      <pivotArea type="data" outline="0" fieldPosition="0">
        <references count="2">
          <reference field="4294967294" count="1" selected="0">
            <x v="0"/>
          </reference>
          <reference field="2" count="1" selected="0">
            <x v="2"/>
          </reference>
        </references>
      </pivotArea>
    </chartFormat>
    <chartFormat chart="10" format="11">
      <pivotArea type="data" outline="0" fieldPosition="0">
        <references count="2">
          <reference field="4294967294" count="1" selected="0">
            <x v="0"/>
          </reference>
          <reference field="2" count="1" selected="0">
            <x v="3"/>
          </reference>
        </references>
      </pivotArea>
    </chartFormat>
    <chartFormat chart="10"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968A48-CA3C-46DE-A0EA-98C4C9A916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20" firstHeaderRow="1" firstDataRow="1" firstDataCol="1"/>
  <pivotFields count="10">
    <pivotField showAll="0"/>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axis="axisRow" showAll="0">
      <items count="6">
        <item x="4"/>
        <item x="0"/>
        <item x="2"/>
        <item x="1"/>
        <item x="3"/>
        <item t="default"/>
      </items>
    </pivotField>
    <pivotField showAll="0"/>
    <pivotField showAll="0"/>
    <pivotField showAll="0"/>
    <pivotField dataField="1" showAll="0"/>
    <pivotField showAll="0"/>
    <pivotField showAll="0">
      <items count="13">
        <item x="5"/>
        <item x="3"/>
        <item x="6"/>
        <item x="8"/>
        <item x="10"/>
        <item x="9"/>
        <item x="7"/>
        <item x="11"/>
        <item x="2"/>
        <item x="0"/>
        <item x="1"/>
        <item x="4"/>
        <item t="default"/>
      </items>
    </pivotField>
  </pivotFields>
  <rowFields count="1">
    <field x="3"/>
  </rowFields>
  <rowItems count="6">
    <i>
      <x/>
    </i>
    <i>
      <x v="1"/>
    </i>
    <i>
      <x v="2"/>
    </i>
    <i>
      <x v="3"/>
    </i>
    <i>
      <x v="4"/>
    </i>
    <i t="grand">
      <x/>
    </i>
  </rowItems>
  <colItems count="1">
    <i/>
  </colItems>
  <dataFields count="1">
    <dataField name="Sum of Commission"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35BC32-A595-49A2-AF3F-E5B9E9506ABF}" autoFormatId="16" applyNumberFormats="0" applyBorderFormats="0" applyFontFormats="0" applyPatternFormats="0" applyAlignmentFormats="0" applyWidthHeightFormats="0">
  <queryTableRefresh nextId="11">
    <queryTableFields count="10">
      <queryTableField id="1" name="Order No" tableColumnId="1"/>
      <queryTableField id="2" name="Date" tableColumnId="2"/>
      <queryTableField id="3" name="Item" tableColumnId="3"/>
      <queryTableField id="4" name="Sales Rep" tableColumnId="4"/>
      <queryTableField id="5" name="Quantity" tableColumnId="5"/>
      <queryTableField id="6" name="Price" tableColumnId="6"/>
      <queryTableField id="7" name="Total Price" tableColumnId="7"/>
      <queryTableField id="8" name="Commission" tableColumnId="8"/>
      <queryTableField id="9" name="Total Value (With Commisio)" tableColumnId="9"/>
      <queryTableField id="10" name="Stat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B71ECD4-B9D9-4111-B496-BD59B79CE02E}" sourceName="Date">
  <pivotTables>
    <pivotTable tabId="3" name="PivotTable3"/>
    <pivotTable tabId="3" name="PivotTable1"/>
    <pivotTable tabId="3" name="PivotTable2"/>
    <pivotTable tabId="3" name="PivotTable4"/>
    <pivotTable tabId="3" name="PivotTable5"/>
    <pivotTable tabId="3" name="PivotTable6"/>
    <pivotTable tabId="3" name="PivotTable8"/>
    <pivotTable tabId="3" name="PivotTable9"/>
  </pivotTables>
  <data>
    <tabular pivotCacheId="1615376560">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5CA9B214-4548-4198-9DDA-686FE5698EE9}" sourceName="Sales Rep">
  <pivotTables>
    <pivotTable tabId="3" name="PivotTable3"/>
    <pivotTable tabId="3" name="PivotTable1"/>
    <pivotTable tabId="3" name="PivotTable2"/>
    <pivotTable tabId="3" name="PivotTable4"/>
    <pivotTable tabId="3" name="PivotTable5"/>
    <pivotTable tabId="3" name="PivotTable6"/>
    <pivotTable tabId="3" name="PivotTable8"/>
    <pivotTable tabId="3" name="PivotTable9"/>
  </pivotTables>
  <data>
    <tabular pivotCacheId="1615376560">
      <items count="5">
        <i x="4" s="1"/>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94E123A-58B4-4EFF-AB86-F531F25714BD}" sourceName="State">
  <pivotTables>
    <pivotTable tabId="3" name="PivotTable3"/>
    <pivotTable tabId="3" name="PivotTable1"/>
    <pivotTable tabId="3" name="PivotTable2"/>
    <pivotTable tabId="3" name="PivotTable4"/>
    <pivotTable tabId="3" name="PivotTable5"/>
    <pivotTable tabId="3" name="PivotTable6"/>
    <pivotTable tabId="3" name="PivotTable8"/>
    <pivotTable tabId="3" name="PivotTable9"/>
  </pivotTables>
  <data>
    <tabular pivotCacheId="1615376560">
      <items count="12">
        <i x="5" s="1"/>
        <i x="3" s="1"/>
        <i x="6" s="1"/>
        <i x="8" s="1"/>
        <i x="10" s="1"/>
        <i x="9" s="1"/>
        <i x="7" s="1"/>
        <i x="11" s="1"/>
        <i x="2"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17784E7B-801F-4B04-A1EB-56D11F38DCCB}" sourceName="Item">
  <pivotTables>
    <pivotTable tabId="3" name="PivotTable2"/>
    <pivotTable tabId="3" name="PivotTable1"/>
    <pivotTable tabId="3" name="PivotTable3"/>
    <pivotTable tabId="3" name="PivotTable4"/>
    <pivotTable tabId="3" name="PivotTable5"/>
    <pivotTable tabId="3" name="PivotTable6"/>
    <pivotTable tabId="3" name="PivotTable8"/>
    <pivotTable tabId="3" name="PivotTable9"/>
  </pivotTables>
  <data>
    <tabular pivotCacheId="1615376560">
      <items count="5">
        <i x="3" s="1"/>
        <i x="2"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FBFD1B0A-4FBF-4BB1-9926-3E4E3B402265}" cache="Slicer_Date" caption="Date" rowHeight="241300"/>
  <slicer name="Sales Rep" xr10:uid="{E13D879C-91F3-4DA6-9B6F-C63BBA6EFB7E}" cache="Slicer_Sales_Rep" caption="Sales Rep" rowHeight="241300"/>
  <slicer name="State" xr10:uid="{6E7CDB46-88EF-4DF6-B479-EC4048613B27}" cache="Slicer_State" caption="State" rowHeight="241300"/>
  <slicer name="Item" xr10:uid="{5AC53B08-67BF-4172-8AB4-999A775C16F3}" cache="Slicer_Item" caption="Ite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E421292E-1A91-41E2-BDAB-80549C4F690D}" cache="Slicer_Date" caption="Date" columnCount="5" rowHeight="241300"/>
  <slicer name="Sales Rep 1" xr10:uid="{6495102C-D033-454F-94A3-245466CDA64F}" cache="Slicer_Sales_Rep" caption="Sales Rep" startItem="1" rowHeight="241300"/>
  <slicer name="State 1" xr10:uid="{FF56D7FA-FEB0-4F00-B33F-12CA25BC36CD}" cache="Slicer_State" caption="State" startItem="6" rowHeight="241300"/>
  <slicer name="Item 1" xr10:uid="{1C3505B3-4171-43A3-A055-6ED3047482ED}" cache="Slicer_Item" caption="Item" columnCoun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A0A359-C688-4047-86F0-6B7CDC20F1FB}" name="Order_by_sales" displayName="Order_by_sales" ref="A1:J1301" tableType="queryTable" totalsRowShown="0">
  <autoFilter ref="A1:J1301" xr:uid="{D1A0A359-C688-4047-86F0-6B7CDC20F1FB}"/>
  <tableColumns count="10">
    <tableColumn id="1" xr3:uid="{132839CC-B8E4-4130-86AF-3F15A288DDFC}" uniqueName="1" name="Order No" queryTableFieldId="1" dataDxfId="4"/>
    <tableColumn id="2" xr3:uid="{164868F8-3440-4CE5-B290-A9269C85CFA8}" uniqueName="2" name="Date" queryTableFieldId="2" dataDxfId="3"/>
    <tableColumn id="3" xr3:uid="{CC88053E-8958-4791-BDCC-9A53DBEA8593}" uniqueName="3" name="Item" queryTableFieldId="3" dataDxfId="2"/>
    <tableColumn id="4" xr3:uid="{F63978D8-20B4-4104-81CC-414B5690EA82}" uniqueName="4" name="Sales Rep" queryTableFieldId="4" dataDxfId="1"/>
    <tableColumn id="5" xr3:uid="{F78E6516-40D0-4F6E-90AE-0F1ED6D6F350}" uniqueName="5" name="Quantity" queryTableFieldId="5"/>
    <tableColumn id="6" xr3:uid="{CD3D8F85-17B9-473A-94B6-EA817933E84C}" uniqueName="6" name="Price" queryTableFieldId="6"/>
    <tableColumn id="7" xr3:uid="{BFAF8ACA-A0EC-4940-AB23-0BCAFFCB15B6}" uniqueName="7" name="Total Price" queryTableFieldId="7"/>
    <tableColumn id="8" xr3:uid="{7196E7EE-36AC-4EC7-903A-31D94A270144}" uniqueName="8" name="Commission" queryTableFieldId="8"/>
    <tableColumn id="9" xr3:uid="{2FBF399D-A9DE-4046-BFAA-98D5438FB092}" uniqueName="9" name="Total Value (With Commisio)" queryTableFieldId="9"/>
    <tableColumn id="10" xr3:uid="{23C4752F-C378-4274-89AF-178D273310F9}" uniqueName="10" name="State" queryTableFieldId="1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29CBD-065C-475B-9185-E23A4F307FB1}">
  <dimension ref="A3:J72"/>
  <sheetViews>
    <sheetView workbookViewId="0">
      <selection activeCell="A67" sqref="A67:C71"/>
    </sheetView>
  </sheetViews>
  <sheetFormatPr defaultRowHeight="15" x14ac:dyDescent="0.25"/>
  <cols>
    <col min="1" max="1" width="13.140625" bestFit="1" customWidth="1"/>
    <col min="2" max="2" width="13.28515625" bestFit="1" customWidth="1"/>
    <col min="3" max="3" width="34" bestFit="1" customWidth="1"/>
    <col min="4" max="4" width="7.140625" bestFit="1" customWidth="1"/>
    <col min="6" max="6" width="13.140625" bestFit="1" customWidth="1"/>
    <col min="7" max="7" width="15.42578125" bestFit="1" customWidth="1"/>
  </cols>
  <sheetData>
    <row r="3" spans="1:2" x14ac:dyDescent="0.25">
      <c r="A3" t="s">
        <v>1334</v>
      </c>
    </row>
    <row r="4" spans="1:2" x14ac:dyDescent="0.25">
      <c r="A4">
        <v>1300</v>
      </c>
    </row>
    <row r="6" spans="1:2" x14ac:dyDescent="0.25">
      <c r="A6" s="2" t="s">
        <v>1332</v>
      </c>
      <c r="B6" t="s">
        <v>1334</v>
      </c>
    </row>
    <row r="7" spans="1:2" x14ac:dyDescent="0.25">
      <c r="A7" s="3" t="s">
        <v>30</v>
      </c>
      <c r="B7">
        <v>235</v>
      </c>
    </row>
    <row r="8" spans="1:2" x14ac:dyDescent="0.25">
      <c r="A8" s="3" t="s">
        <v>19</v>
      </c>
      <c r="B8">
        <v>231</v>
      </c>
    </row>
    <row r="9" spans="1:2" x14ac:dyDescent="0.25">
      <c r="A9" s="3" t="s">
        <v>11</v>
      </c>
      <c r="B9">
        <v>296</v>
      </c>
    </row>
    <row r="10" spans="1:2" x14ac:dyDescent="0.25">
      <c r="A10" s="3" t="s">
        <v>34</v>
      </c>
      <c r="B10">
        <v>226</v>
      </c>
    </row>
    <row r="11" spans="1:2" x14ac:dyDescent="0.25">
      <c r="A11" s="3" t="s">
        <v>15</v>
      </c>
      <c r="B11">
        <v>312</v>
      </c>
    </row>
    <row r="12" spans="1:2" x14ac:dyDescent="0.25">
      <c r="A12" s="3" t="s">
        <v>1333</v>
      </c>
      <c r="B12">
        <v>1300</v>
      </c>
    </row>
    <row r="14" spans="1:2" x14ac:dyDescent="0.25">
      <c r="A14" s="2" t="s">
        <v>1332</v>
      </c>
      <c r="B14" t="s">
        <v>1340</v>
      </c>
    </row>
    <row r="15" spans="1:2" x14ac:dyDescent="0.25">
      <c r="A15" s="3" t="s">
        <v>31</v>
      </c>
      <c r="B15">
        <v>17.429999999999986</v>
      </c>
    </row>
    <row r="16" spans="1:2" x14ac:dyDescent="0.25">
      <c r="A16" s="3" t="s">
        <v>12</v>
      </c>
      <c r="B16">
        <v>17.179999999999968</v>
      </c>
    </row>
    <row r="17" spans="1:10" x14ac:dyDescent="0.25">
      <c r="A17" s="3" t="s">
        <v>24</v>
      </c>
      <c r="B17">
        <v>14.379999999999969</v>
      </c>
    </row>
    <row r="18" spans="1:10" x14ac:dyDescent="0.25">
      <c r="A18" s="3" t="s">
        <v>16</v>
      </c>
      <c r="B18">
        <v>14.869999999999965</v>
      </c>
    </row>
    <row r="19" spans="1:10" x14ac:dyDescent="0.25">
      <c r="A19" s="3" t="s">
        <v>27</v>
      </c>
      <c r="B19">
        <v>15.979999999999979</v>
      </c>
    </row>
    <row r="20" spans="1:10" x14ac:dyDescent="0.25">
      <c r="A20" s="3" t="s">
        <v>1333</v>
      </c>
      <c r="B20">
        <v>79.839999999999861</v>
      </c>
      <c r="F20" s="2" t="s">
        <v>1332</v>
      </c>
      <c r="G20" t="s">
        <v>1339</v>
      </c>
    </row>
    <row r="21" spans="1:10" x14ac:dyDescent="0.25">
      <c r="F21" s="3" t="s">
        <v>28</v>
      </c>
      <c r="G21">
        <v>1276</v>
      </c>
      <c r="H21" s="3"/>
      <c r="I21" s="3" t="s">
        <v>28</v>
      </c>
      <c r="J21">
        <v>1276</v>
      </c>
    </row>
    <row r="22" spans="1:10" x14ac:dyDescent="0.25">
      <c r="A22" t="s">
        <v>1335</v>
      </c>
      <c r="F22" s="3" t="s">
        <v>22</v>
      </c>
      <c r="G22">
        <v>1433</v>
      </c>
      <c r="H22" s="3"/>
      <c r="I22" s="3" t="s">
        <v>22</v>
      </c>
      <c r="J22">
        <v>1433</v>
      </c>
    </row>
    <row r="23" spans="1:10" x14ac:dyDescent="0.25">
      <c r="A23">
        <v>1584826</v>
      </c>
      <c r="F23" s="3" t="s">
        <v>32</v>
      </c>
      <c r="G23">
        <v>1577</v>
      </c>
      <c r="H23" s="3"/>
      <c r="I23" s="3" t="s">
        <v>32</v>
      </c>
      <c r="J23">
        <v>1577</v>
      </c>
    </row>
    <row r="24" spans="1:10" x14ac:dyDescent="0.25">
      <c r="F24" s="3" t="s">
        <v>37</v>
      </c>
      <c r="G24">
        <v>2036</v>
      </c>
      <c r="H24" s="3"/>
      <c r="I24" s="3" t="s">
        <v>37</v>
      </c>
      <c r="J24">
        <v>2036</v>
      </c>
    </row>
    <row r="25" spans="1:10" x14ac:dyDescent="0.25">
      <c r="A25" t="s">
        <v>1336</v>
      </c>
      <c r="F25" s="3" t="s">
        <v>41</v>
      </c>
      <c r="G25">
        <v>887</v>
      </c>
      <c r="H25" s="3"/>
      <c r="I25" s="3" t="s">
        <v>41</v>
      </c>
      <c r="J25">
        <v>887</v>
      </c>
    </row>
    <row r="26" spans="1:10" x14ac:dyDescent="0.25">
      <c r="A26">
        <v>100157.03999999988</v>
      </c>
      <c r="F26" s="3" t="s">
        <v>39</v>
      </c>
      <c r="G26">
        <v>1535</v>
      </c>
      <c r="H26" s="3"/>
      <c r="I26" s="3" t="s">
        <v>39</v>
      </c>
      <c r="J26">
        <v>1535</v>
      </c>
    </row>
    <row r="27" spans="1:10" x14ac:dyDescent="0.25">
      <c r="F27" s="3" t="s">
        <v>35</v>
      </c>
      <c r="G27">
        <v>1461</v>
      </c>
      <c r="H27" s="3"/>
      <c r="I27" s="3" t="s">
        <v>35</v>
      </c>
      <c r="J27">
        <v>1461</v>
      </c>
    </row>
    <row r="28" spans="1:10" x14ac:dyDescent="0.25">
      <c r="A28" s="4" t="s">
        <v>1337</v>
      </c>
      <c r="F28" s="3" t="s">
        <v>43</v>
      </c>
      <c r="G28">
        <v>865</v>
      </c>
      <c r="H28" s="3"/>
      <c r="I28" s="3" t="s">
        <v>43</v>
      </c>
      <c r="J28">
        <v>865</v>
      </c>
    </row>
    <row r="29" spans="1:10" x14ac:dyDescent="0.25">
      <c r="A29">
        <f>COUNTA(F21:F81)-1</f>
        <v>12</v>
      </c>
      <c r="F29" s="3" t="s">
        <v>20</v>
      </c>
      <c r="G29">
        <v>2018</v>
      </c>
      <c r="H29" s="3"/>
      <c r="I29" s="3" t="s">
        <v>20</v>
      </c>
      <c r="J29">
        <v>2018</v>
      </c>
    </row>
    <row r="30" spans="1:10" x14ac:dyDescent="0.25">
      <c r="F30" s="3" t="s">
        <v>13</v>
      </c>
      <c r="G30">
        <v>953</v>
      </c>
      <c r="H30" s="3"/>
      <c r="I30" s="3" t="s">
        <v>13</v>
      </c>
      <c r="J30">
        <v>953</v>
      </c>
    </row>
    <row r="31" spans="1:10" x14ac:dyDescent="0.25">
      <c r="A31" s="2" t="s">
        <v>1332</v>
      </c>
      <c r="B31" t="s">
        <v>1339</v>
      </c>
      <c r="F31" s="3" t="s">
        <v>17</v>
      </c>
      <c r="G31">
        <v>1247</v>
      </c>
      <c r="H31" s="3"/>
      <c r="I31" s="3" t="s">
        <v>17</v>
      </c>
      <c r="J31">
        <v>1247</v>
      </c>
    </row>
    <row r="32" spans="1:10" x14ac:dyDescent="0.25">
      <c r="A32" s="5">
        <v>43282</v>
      </c>
      <c r="B32">
        <v>497</v>
      </c>
      <c r="F32" s="3" t="s">
        <v>25</v>
      </c>
      <c r="G32">
        <v>1344</v>
      </c>
      <c r="H32" s="3"/>
      <c r="I32" s="3" t="s">
        <v>25</v>
      </c>
      <c r="J32">
        <v>1344</v>
      </c>
    </row>
    <row r="33" spans="1:7" x14ac:dyDescent="0.25">
      <c r="A33" s="5">
        <v>43283</v>
      </c>
      <c r="B33">
        <v>464</v>
      </c>
      <c r="F33" s="3" t="s">
        <v>1333</v>
      </c>
      <c r="G33">
        <v>16632</v>
      </c>
    </row>
    <row r="34" spans="1:7" x14ac:dyDescent="0.25">
      <c r="A34" s="5">
        <v>43284</v>
      </c>
      <c r="B34">
        <v>428</v>
      </c>
    </row>
    <row r="35" spans="1:7" x14ac:dyDescent="0.25">
      <c r="A35" s="5">
        <v>43285</v>
      </c>
      <c r="B35">
        <v>429</v>
      </c>
    </row>
    <row r="36" spans="1:7" x14ac:dyDescent="0.25">
      <c r="A36" s="5">
        <v>43286</v>
      </c>
      <c r="B36">
        <v>636</v>
      </c>
    </row>
    <row r="37" spans="1:7" x14ac:dyDescent="0.25">
      <c r="A37" s="5">
        <v>43287</v>
      </c>
      <c r="B37">
        <v>671</v>
      </c>
    </row>
    <row r="38" spans="1:7" x14ac:dyDescent="0.25">
      <c r="A38" s="5">
        <v>43288</v>
      </c>
      <c r="B38">
        <v>705</v>
      </c>
    </row>
    <row r="39" spans="1:7" x14ac:dyDescent="0.25">
      <c r="A39" s="5">
        <v>43289</v>
      </c>
      <c r="B39">
        <v>626</v>
      </c>
    </row>
    <row r="40" spans="1:7" x14ac:dyDescent="0.25">
      <c r="A40" s="5">
        <v>43290</v>
      </c>
      <c r="B40">
        <v>490</v>
      </c>
    </row>
    <row r="41" spans="1:7" x14ac:dyDescent="0.25">
      <c r="A41" s="5">
        <v>43291</v>
      </c>
      <c r="B41">
        <v>681</v>
      </c>
    </row>
    <row r="42" spans="1:7" x14ac:dyDescent="0.25">
      <c r="A42" s="5">
        <v>43292</v>
      </c>
      <c r="B42">
        <v>551</v>
      </c>
    </row>
    <row r="43" spans="1:7" x14ac:dyDescent="0.25">
      <c r="A43" s="5">
        <v>43293</v>
      </c>
      <c r="B43">
        <v>340</v>
      </c>
    </row>
    <row r="44" spans="1:7" x14ac:dyDescent="0.25">
      <c r="A44" s="5">
        <v>43294</v>
      </c>
      <c r="B44">
        <v>560</v>
      </c>
    </row>
    <row r="45" spans="1:7" x14ac:dyDescent="0.25">
      <c r="A45" s="5">
        <v>43295</v>
      </c>
      <c r="B45">
        <v>616</v>
      </c>
    </row>
    <row r="46" spans="1:7" x14ac:dyDescent="0.25">
      <c r="A46" s="5">
        <v>43296</v>
      </c>
      <c r="B46">
        <v>510</v>
      </c>
    </row>
    <row r="47" spans="1:7" x14ac:dyDescent="0.25">
      <c r="A47" s="5">
        <v>43297</v>
      </c>
      <c r="B47">
        <v>670</v>
      </c>
    </row>
    <row r="48" spans="1:7" x14ac:dyDescent="0.25">
      <c r="A48" s="5">
        <v>43298</v>
      </c>
      <c r="B48">
        <v>577</v>
      </c>
    </row>
    <row r="49" spans="1:2" x14ac:dyDescent="0.25">
      <c r="A49" s="5">
        <v>43299</v>
      </c>
      <c r="B49">
        <v>487</v>
      </c>
    </row>
    <row r="50" spans="1:2" x14ac:dyDescent="0.25">
      <c r="A50" s="5">
        <v>43300</v>
      </c>
      <c r="B50">
        <v>638</v>
      </c>
    </row>
    <row r="51" spans="1:2" x14ac:dyDescent="0.25">
      <c r="A51" s="5">
        <v>43301</v>
      </c>
      <c r="B51">
        <v>405</v>
      </c>
    </row>
    <row r="52" spans="1:2" x14ac:dyDescent="0.25">
      <c r="A52" s="5">
        <v>43302</v>
      </c>
      <c r="B52">
        <v>541</v>
      </c>
    </row>
    <row r="53" spans="1:2" x14ac:dyDescent="0.25">
      <c r="A53" s="5">
        <v>43303</v>
      </c>
      <c r="B53">
        <v>474</v>
      </c>
    </row>
    <row r="54" spans="1:2" x14ac:dyDescent="0.25">
      <c r="A54" s="5">
        <v>43304</v>
      </c>
      <c r="B54">
        <v>513</v>
      </c>
    </row>
    <row r="55" spans="1:2" x14ac:dyDescent="0.25">
      <c r="A55" s="5">
        <v>43305</v>
      </c>
      <c r="B55">
        <v>635</v>
      </c>
    </row>
    <row r="56" spans="1:2" x14ac:dyDescent="0.25">
      <c r="A56" s="5">
        <v>43306</v>
      </c>
      <c r="B56">
        <v>662</v>
      </c>
    </row>
    <row r="57" spans="1:2" x14ac:dyDescent="0.25">
      <c r="A57" s="5">
        <v>43307</v>
      </c>
      <c r="B57">
        <v>603</v>
      </c>
    </row>
    <row r="58" spans="1:2" x14ac:dyDescent="0.25">
      <c r="A58" s="5">
        <v>43308</v>
      </c>
      <c r="B58">
        <v>689</v>
      </c>
    </row>
    <row r="59" spans="1:2" x14ac:dyDescent="0.25">
      <c r="A59" s="5">
        <v>43309</v>
      </c>
      <c r="B59">
        <v>423</v>
      </c>
    </row>
    <row r="60" spans="1:2" x14ac:dyDescent="0.25">
      <c r="A60" s="5">
        <v>43310</v>
      </c>
      <c r="B60">
        <v>506</v>
      </c>
    </row>
    <row r="61" spans="1:2" x14ac:dyDescent="0.25">
      <c r="A61" s="5">
        <v>43311</v>
      </c>
      <c r="B61">
        <v>349</v>
      </c>
    </row>
    <row r="62" spans="1:2" x14ac:dyDescent="0.25">
      <c r="A62" s="5">
        <v>43312</v>
      </c>
      <c r="B62">
        <v>256</v>
      </c>
    </row>
    <row r="63" spans="1:2" x14ac:dyDescent="0.25">
      <c r="A63" s="5" t="s">
        <v>1333</v>
      </c>
      <c r="B63">
        <v>16632</v>
      </c>
    </row>
    <row r="66" spans="1:3" x14ac:dyDescent="0.25">
      <c r="A66" s="2" t="s">
        <v>1332</v>
      </c>
      <c r="B66" t="s">
        <v>1341</v>
      </c>
      <c r="C66" t="s">
        <v>1336</v>
      </c>
    </row>
    <row r="67" spans="1:3" x14ac:dyDescent="0.25">
      <c r="A67" s="3" t="s">
        <v>31</v>
      </c>
      <c r="B67">
        <v>257</v>
      </c>
      <c r="C67">
        <v>23576.700000000012</v>
      </c>
    </row>
    <row r="68" spans="1:3" x14ac:dyDescent="0.25">
      <c r="A68" s="3" t="s">
        <v>12</v>
      </c>
      <c r="B68">
        <v>277</v>
      </c>
      <c r="C68">
        <v>17871.140000000018</v>
      </c>
    </row>
    <row r="69" spans="1:3" x14ac:dyDescent="0.25">
      <c r="A69" s="3" t="s">
        <v>24</v>
      </c>
      <c r="B69">
        <v>257</v>
      </c>
      <c r="C69">
        <v>17621.360000000004</v>
      </c>
    </row>
    <row r="70" spans="1:3" x14ac:dyDescent="0.25">
      <c r="A70" s="3" t="s">
        <v>16</v>
      </c>
      <c r="B70">
        <v>240</v>
      </c>
      <c r="C70">
        <v>21012.360000000004</v>
      </c>
    </row>
    <row r="71" spans="1:3" x14ac:dyDescent="0.25">
      <c r="A71" s="3" t="s">
        <v>27</v>
      </c>
      <c r="B71">
        <v>269</v>
      </c>
      <c r="C71">
        <v>20075.480000000003</v>
      </c>
    </row>
    <row r="72" spans="1:3" x14ac:dyDescent="0.25">
      <c r="A72" s="3" t="s">
        <v>1333</v>
      </c>
      <c r="B72">
        <v>1300</v>
      </c>
      <c r="C72">
        <v>100157.04000000011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F7824-67EB-4DAE-A9F3-CFF2C61AB160}">
  <dimension ref="B2:S3"/>
  <sheetViews>
    <sheetView tabSelected="1" zoomScaleNormal="100" workbookViewId="0">
      <selection activeCell="E2" sqref="E2"/>
    </sheetView>
  </sheetViews>
  <sheetFormatPr defaultRowHeight="15" x14ac:dyDescent="0.25"/>
  <cols>
    <col min="1" max="16384" width="9.140625" style="6"/>
  </cols>
  <sheetData>
    <row r="2" spans="2:19" x14ac:dyDescent="0.25">
      <c r="B2" s="7" t="s">
        <v>1334</v>
      </c>
      <c r="C2" s="8"/>
      <c r="G2" s="10" t="s">
        <v>1338</v>
      </c>
      <c r="H2" s="11"/>
      <c r="I2" s="11"/>
      <c r="J2" s="11"/>
      <c r="K2" s="11"/>
      <c r="L2" s="11"/>
      <c r="M2" s="11"/>
      <c r="N2" s="11"/>
      <c r="R2" s="7" t="s">
        <v>6</v>
      </c>
      <c r="S2" s="7"/>
    </row>
    <row r="3" spans="2:19" x14ac:dyDescent="0.25">
      <c r="B3" s="9">
        <f>GETPIVOTDATA("Order No",Sheet2!$A$3)</f>
        <v>1300</v>
      </c>
      <c r="C3" s="9"/>
      <c r="G3" s="11"/>
      <c r="H3" s="11"/>
      <c r="I3" s="11"/>
      <c r="J3" s="11"/>
      <c r="K3" s="11"/>
      <c r="L3" s="11"/>
      <c r="M3" s="11"/>
      <c r="N3" s="11"/>
      <c r="R3" s="9">
        <f>GETPIVOTDATA("Total Price",Sheet2!$A$22)</f>
        <v>1584826</v>
      </c>
      <c r="S3" s="9"/>
    </row>
  </sheetData>
  <mergeCells count="5">
    <mergeCell ref="B2:C2"/>
    <mergeCell ref="B3:C3"/>
    <mergeCell ref="R2:S2"/>
    <mergeCell ref="R3:S3"/>
    <mergeCell ref="G2: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AD4E5-303F-49F5-B6C2-2CFC4340522C}">
  <dimension ref="A1:J1301"/>
  <sheetViews>
    <sheetView topLeftCell="A7" workbookViewId="0">
      <selection activeCell="D6" sqref="D6"/>
    </sheetView>
  </sheetViews>
  <sheetFormatPr defaultRowHeight="15" x14ac:dyDescent="0.25"/>
  <cols>
    <col min="1" max="1" width="11.42578125" bestFit="1" customWidth="1"/>
    <col min="2" max="2" width="10.42578125" bestFit="1" customWidth="1"/>
    <col min="3" max="3" width="12" bestFit="1" customWidth="1"/>
    <col min="4" max="4" width="11.7109375" bestFit="1" customWidth="1"/>
    <col min="5" max="5" width="11" bestFit="1" customWidth="1"/>
    <col min="6" max="6" width="7.7109375" bestFit="1" customWidth="1"/>
    <col min="7" max="7" width="12.5703125" bestFit="1" customWidth="1"/>
    <col min="8" max="8" width="14.140625" bestFit="1" customWidth="1"/>
    <col min="9" max="9" width="29.42578125" bestFit="1" customWidth="1"/>
    <col min="10" max="10" width="13.1406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s="1">
        <v>43282</v>
      </c>
      <c r="C2" t="s">
        <v>11</v>
      </c>
      <c r="D2" t="s">
        <v>12</v>
      </c>
      <c r="E2">
        <v>6</v>
      </c>
      <c r="F2">
        <v>80</v>
      </c>
      <c r="G2">
        <v>480</v>
      </c>
      <c r="H2">
        <v>0.01</v>
      </c>
      <c r="I2">
        <v>4.8</v>
      </c>
      <c r="J2" t="s">
        <v>13</v>
      </c>
    </row>
    <row r="3" spans="1:10" x14ac:dyDescent="0.25">
      <c r="A3" t="s">
        <v>14</v>
      </c>
      <c r="B3" s="1">
        <v>43282</v>
      </c>
      <c r="C3" t="s">
        <v>15</v>
      </c>
      <c r="D3" t="s">
        <v>16</v>
      </c>
      <c r="E3">
        <v>14</v>
      </c>
      <c r="F3">
        <v>40</v>
      </c>
      <c r="G3">
        <v>560</v>
      </c>
      <c r="H3">
        <v>0.06</v>
      </c>
      <c r="I3">
        <v>33.6</v>
      </c>
      <c r="J3" t="s">
        <v>17</v>
      </c>
    </row>
    <row r="4" spans="1:10" x14ac:dyDescent="0.25">
      <c r="A4" t="s">
        <v>18</v>
      </c>
      <c r="B4" s="1">
        <v>43282</v>
      </c>
      <c r="C4" t="s">
        <v>19</v>
      </c>
      <c r="D4" t="s">
        <v>16</v>
      </c>
      <c r="E4">
        <v>22</v>
      </c>
      <c r="F4">
        <v>230</v>
      </c>
      <c r="G4">
        <v>5060</v>
      </c>
      <c r="H4">
        <v>0.11</v>
      </c>
      <c r="I4">
        <v>556.6</v>
      </c>
      <c r="J4" t="s">
        <v>20</v>
      </c>
    </row>
    <row r="5" spans="1:10" x14ac:dyDescent="0.25">
      <c r="A5" t="s">
        <v>21</v>
      </c>
      <c r="B5" s="1">
        <v>43282</v>
      </c>
      <c r="C5" t="s">
        <v>19</v>
      </c>
      <c r="D5" t="s">
        <v>12</v>
      </c>
      <c r="E5">
        <v>8</v>
      </c>
      <c r="F5">
        <v>230</v>
      </c>
      <c r="G5">
        <v>1840</v>
      </c>
      <c r="H5">
        <v>0.03</v>
      </c>
      <c r="I5">
        <v>55.199999999999996</v>
      </c>
      <c r="J5" t="s">
        <v>22</v>
      </c>
    </row>
    <row r="6" spans="1:10" x14ac:dyDescent="0.25">
      <c r="A6" t="s">
        <v>23</v>
      </c>
      <c r="B6" s="1">
        <v>43282</v>
      </c>
      <c r="C6" t="s">
        <v>19</v>
      </c>
      <c r="D6" t="s">
        <v>24</v>
      </c>
      <c r="E6">
        <v>12</v>
      </c>
      <c r="F6">
        <v>230</v>
      </c>
      <c r="G6">
        <v>2760</v>
      </c>
      <c r="H6">
        <v>0.03</v>
      </c>
      <c r="I6">
        <v>82.8</v>
      </c>
      <c r="J6" t="s">
        <v>25</v>
      </c>
    </row>
    <row r="7" spans="1:10" x14ac:dyDescent="0.25">
      <c r="A7" t="s">
        <v>26</v>
      </c>
      <c r="B7" s="1">
        <v>43282</v>
      </c>
      <c r="C7" t="s">
        <v>11</v>
      </c>
      <c r="D7" t="s">
        <v>27</v>
      </c>
      <c r="E7">
        <v>19</v>
      </c>
      <c r="F7">
        <v>80</v>
      </c>
      <c r="G7">
        <v>1520</v>
      </c>
      <c r="H7">
        <v>0.02</v>
      </c>
      <c r="I7">
        <v>30.400000000000002</v>
      </c>
      <c r="J7" t="s">
        <v>28</v>
      </c>
    </row>
    <row r="8" spans="1:10" x14ac:dyDescent="0.25">
      <c r="A8" t="s">
        <v>29</v>
      </c>
      <c r="B8" s="1">
        <v>43282</v>
      </c>
      <c r="C8" t="s">
        <v>30</v>
      </c>
      <c r="D8" t="s">
        <v>31</v>
      </c>
      <c r="E8">
        <v>17</v>
      </c>
      <c r="F8">
        <v>16</v>
      </c>
      <c r="G8">
        <v>272</v>
      </c>
      <c r="H8">
        <v>0.08</v>
      </c>
      <c r="I8">
        <v>21.76</v>
      </c>
      <c r="J8" t="s">
        <v>32</v>
      </c>
    </row>
    <row r="9" spans="1:10" x14ac:dyDescent="0.25">
      <c r="A9" t="s">
        <v>33</v>
      </c>
      <c r="B9" s="1">
        <v>43282</v>
      </c>
      <c r="C9" t="s">
        <v>34</v>
      </c>
      <c r="D9" t="s">
        <v>27</v>
      </c>
      <c r="E9">
        <v>7</v>
      </c>
      <c r="F9">
        <v>150</v>
      </c>
      <c r="G9">
        <v>1050</v>
      </c>
      <c r="H9">
        <v>0.05</v>
      </c>
      <c r="I9">
        <v>52.5</v>
      </c>
      <c r="J9" t="s">
        <v>35</v>
      </c>
    </row>
    <row r="10" spans="1:10" x14ac:dyDescent="0.25">
      <c r="A10" t="s">
        <v>36</v>
      </c>
      <c r="B10" s="1">
        <v>43282</v>
      </c>
      <c r="C10" t="s">
        <v>34</v>
      </c>
      <c r="D10" t="s">
        <v>27</v>
      </c>
      <c r="E10">
        <v>20</v>
      </c>
      <c r="F10">
        <v>150</v>
      </c>
      <c r="G10">
        <v>3000</v>
      </c>
      <c r="H10">
        <v>0.1</v>
      </c>
      <c r="I10">
        <v>300</v>
      </c>
      <c r="J10" t="s">
        <v>37</v>
      </c>
    </row>
    <row r="11" spans="1:10" x14ac:dyDescent="0.25">
      <c r="A11" t="s">
        <v>38</v>
      </c>
      <c r="B11" s="1">
        <v>43282</v>
      </c>
      <c r="C11" t="s">
        <v>30</v>
      </c>
      <c r="D11" t="s">
        <v>12</v>
      </c>
      <c r="E11">
        <v>21</v>
      </c>
      <c r="F11">
        <v>16</v>
      </c>
      <c r="G11">
        <v>336</v>
      </c>
      <c r="H11">
        <v>0.09</v>
      </c>
      <c r="I11">
        <v>30.24</v>
      </c>
      <c r="J11" t="s">
        <v>39</v>
      </c>
    </row>
    <row r="12" spans="1:10" x14ac:dyDescent="0.25">
      <c r="A12" t="s">
        <v>40</v>
      </c>
      <c r="B12" s="1">
        <v>43282</v>
      </c>
      <c r="C12" t="s">
        <v>19</v>
      </c>
      <c r="D12" t="s">
        <v>16</v>
      </c>
      <c r="E12">
        <v>7</v>
      </c>
      <c r="F12">
        <v>230</v>
      </c>
      <c r="G12">
        <v>1610</v>
      </c>
      <c r="H12">
        <v>0.01</v>
      </c>
      <c r="I12">
        <v>16.100000000000001</v>
      </c>
      <c r="J12" t="s">
        <v>41</v>
      </c>
    </row>
    <row r="13" spans="1:10" x14ac:dyDescent="0.25">
      <c r="A13" t="s">
        <v>42</v>
      </c>
      <c r="B13" s="1">
        <v>43283</v>
      </c>
      <c r="C13" t="s">
        <v>11</v>
      </c>
      <c r="D13" t="s">
        <v>27</v>
      </c>
      <c r="E13">
        <v>7</v>
      </c>
      <c r="F13">
        <v>80</v>
      </c>
      <c r="G13">
        <v>560</v>
      </c>
      <c r="H13">
        <v>7.0000000000000007E-2</v>
      </c>
      <c r="I13">
        <v>39.200000000000003</v>
      </c>
      <c r="J13" t="s">
        <v>43</v>
      </c>
    </row>
    <row r="14" spans="1:10" x14ac:dyDescent="0.25">
      <c r="A14" t="s">
        <v>44</v>
      </c>
      <c r="B14" s="1">
        <v>43283</v>
      </c>
      <c r="C14" t="s">
        <v>11</v>
      </c>
      <c r="D14" t="s">
        <v>31</v>
      </c>
      <c r="E14">
        <v>9</v>
      </c>
      <c r="F14">
        <v>80</v>
      </c>
      <c r="G14">
        <v>720</v>
      </c>
      <c r="H14">
        <v>0.02</v>
      </c>
      <c r="I14">
        <v>14.4</v>
      </c>
      <c r="J14" t="s">
        <v>13</v>
      </c>
    </row>
    <row r="15" spans="1:10" x14ac:dyDescent="0.25">
      <c r="A15" t="s">
        <v>45</v>
      </c>
      <c r="B15" s="1">
        <v>43283</v>
      </c>
      <c r="C15" t="s">
        <v>15</v>
      </c>
      <c r="D15" t="s">
        <v>31</v>
      </c>
      <c r="E15">
        <v>16</v>
      </c>
      <c r="F15">
        <v>40</v>
      </c>
      <c r="G15">
        <v>640</v>
      </c>
      <c r="H15">
        <v>0.09</v>
      </c>
      <c r="I15">
        <v>57.599999999999994</v>
      </c>
      <c r="J15" t="s">
        <v>17</v>
      </c>
    </row>
    <row r="16" spans="1:10" x14ac:dyDescent="0.25">
      <c r="A16" t="s">
        <v>46</v>
      </c>
      <c r="B16" s="1">
        <v>43283</v>
      </c>
      <c r="C16" t="s">
        <v>34</v>
      </c>
      <c r="D16" t="s">
        <v>16</v>
      </c>
      <c r="E16">
        <v>23</v>
      </c>
      <c r="F16">
        <v>150</v>
      </c>
      <c r="G16">
        <v>3450</v>
      </c>
      <c r="H16">
        <v>0.11</v>
      </c>
      <c r="I16">
        <v>379.5</v>
      </c>
      <c r="J16" t="s">
        <v>20</v>
      </c>
    </row>
    <row r="17" spans="1:10" x14ac:dyDescent="0.25">
      <c r="A17" t="s">
        <v>47</v>
      </c>
      <c r="B17" s="1">
        <v>43283</v>
      </c>
      <c r="C17" t="s">
        <v>30</v>
      </c>
      <c r="D17" t="s">
        <v>27</v>
      </c>
      <c r="E17">
        <v>22</v>
      </c>
      <c r="F17">
        <v>16</v>
      </c>
      <c r="G17">
        <v>352</v>
      </c>
      <c r="H17">
        <v>0.03</v>
      </c>
      <c r="I17">
        <v>10.559999999999999</v>
      </c>
      <c r="J17" t="s">
        <v>22</v>
      </c>
    </row>
    <row r="18" spans="1:10" x14ac:dyDescent="0.25">
      <c r="A18" t="s">
        <v>48</v>
      </c>
      <c r="B18" s="1">
        <v>43283</v>
      </c>
      <c r="C18" t="s">
        <v>15</v>
      </c>
      <c r="D18" t="s">
        <v>27</v>
      </c>
      <c r="E18">
        <v>23</v>
      </c>
      <c r="F18">
        <v>40</v>
      </c>
      <c r="G18">
        <v>920</v>
      </c>
      <c r="H18">
        <v>0.06</v>
      </c>
      <c r="I18">
        <v>55.199999999999996</v>
      </c>
      <c r="J18" t="s">
        <v>25</v>
      </c>
    </row>
    <row r="19" spans="1:10" x14ac:dyDescent="0.25">
      <c r="A19" t="s">
        <v>49</v>
      </c>
      <c r="B19" s="1">
        <v>43283</v>
      </c>
      <c r="C19" t="s">
        <v>11</v>
      </c>
      <c r="D19" t="s">
        <v>12</v>
      </c>
      <c r="E19">
        <v>20</v>
      </c>
      <c r="F19">
        <v>80</v>
      </c>
      <c r="G19">
        <v>1600</v>
      </c>
      <c r="H19">
        <v>0.01</v>
      </c>
      <c r="I19">
        <v>16</v>
      </c>
      <c r="J19" t="s">
        <v>28</v>
      </c>
    </row>
    <row r="20" spans="1:10" x14ac:dyDescent="0.25">
      <c r="A20" t="s">
        <v>50</v>
      </c>
      <c r="B20" s="1">
        <v>43284</v>
      </c>
      <c r="C20" t="s">
        <v>11</v>
      </c>
      <c r="D20" t="s">
        <v>27</v>
      </c>
      <c r="E20">
        <v>11</v>
      </c>
      <c r="F20">
        <v>80</v>
      </c>
      <c r="G20">
        <v>880</v>
      </c>
      <c r="H20">
        <v>0.01</v>
      </c>
      <c r="I20">
        <v>8.8000000000000007</v>
      </c>
      <c r="J20" t="s">
        <v>32</v>
      </c>
    </row>
    <row r="21" spans="1:10" x14ac:dyDescent="0.25">
      <c r="A21" t="s">
        <v>51</v>
      </c>
      <c r="B21" s="1">
        <v>43284</v>
      </c>
      <c r="C21" t="s">
        <v>15</v>
      </c>
      <c r="D21" t="s">
        <v>27</v>
      </c>
      <c r="E21">
        <v>9</v>
      </c>
      <c r="F21">
        <v>40</v>
      </c>
      <c r="G21">
        <v>360</v>
      </c>
      <c r="H21">
        <v>0.06</v>
      </c>
      <c r="I21">
        <v>21.599999999999998</v>
      </c>
      <c r="J21" t="s">
        <v>35</v>
      </c>
    </row>
    <row r="22" spans="1:10" x14ac:dyDescent="0.25">
      <c r="A22" t="s">
        <v>52</v>
      </c>
      <c r="B22" s="1">
        <v>43284</v>
      </c>
      <c r="C22" t="s">
        <v>11</v>
      </c>
      <c r="D22" t="s">
        <v>31</v>
      </c>
      <c r="E22">
        <v>16</v>
      </c>
      <c r="F22">
        <v>80</v>
      </c>
      <c r="G22">
        <v>1280</v>
      </c>
      <c r="H22">
        <v>0.09</v>
      </c>
      <c r="I22">
        <v>115.19999999999999</v>
      </c>
      <c r="J22" t="s">
        <v>37</v>
      </c>
    </row>
    <row r="23" spans="1:10" x14ac:dyDescent="0.25">
      <c r="A23" t="s">
        <v>53</v>
      </c>
      <c r="B23" s="1">
        <v>43284</v>
      </c>
      <c r="C23" t="s">
        <v>11</v>
      </c>
      <c r="D23" t="s">
        <v>24</v>
      </c>
      <c r="E23">
        <v>10</v>
      </c>
      <c r="F23">
        <v>80</v>
      </c>
      <c r="G23">
        <v>800</v>
      </c>
      <c r="H23">
        <v>0.08</v>
      </c>
      <c r="I23">
        <v>64</v>
      </c>
      <c r="J23" t="s">
        <v>39</v>
      </c>
    </row>
    <row r="24" spans="1:10" x14ac:dyDescent="0.25">
      <c r="A24" t="s">
        <v>54</v>
      </c>
      <c r="B24" s="1">
        <v>43284</v>
      </c>
      <c r="C24" t="s">
        <v>30</v>
      </c>
      <c r="D24" t="s">
        <v>24</v>
      </c>
      <c r="E24">
        <v>12</v>
      </c>
      <c r="F24">
        <v>16</v>
      </c>
      <c r="G24">
        <v>192</v>
      </c>
      <c r="H24">
        <v>0.11</v>
      </c>
      <c r="I24">
        <v>21.12</v>
      </c>
      <c r="J24" t="s">
        <v>41</v>
      </c>
    </row>
    <row r="25" spans="1:10" x14ac:dyDescent="0.25">
      <c r="A25" t="s">
        <v>55</v>
      </c>
      <c r="B25" s="1">
        <v>43284</v>
      </c>
      <c r="C25" t="s">
        <v>34</v>
      </c>
      <c r="D25" t="s">
        <v>27</v>
      </c>
      <c r="E25">
        <v>6</v>
      </c>
      <c r="F25">
        <v>150</v>
      </c>
      <c r="G25">
        <v>900</v>
      </c>
      <c r="H25">
        <v>0.03</v>
      </c>
      <c r="I25">
        <v>27</v>
      </c>
      <c r="J25" t="s">
        <v>43</v>
      </c>
    </row>
    <row r="26" spans="1:10" x14ac:dyDescent="0.25">
      <c r="A26" t="s">
        <v>56</v>
      </c>
      <c r="B26" s="1">
        <v>43284</v>
      </c>
      <c r="C26" t="s">
        <v>30</v>
      </c>
      <c r="D26" t="s">
        <v>24</v>
      </c>
      <c r="E26">
        <v>11</v>
      </c>
      <c r="F26">
        <v>16</v>
      </c>
      <c r="G26">
        <v>176</v>
      </c>
      <c r="H26">
        <v>0.04</v>
      </c>
      <c r="I26">
        <v>7.04</v>
      </c>
      <c r="J26" t="s">
        <v>13</v>
      </c>
    </row>
    <row r="27" spans="1:10" x14ac:dyDescent="0.25">
      <c r="A27" t="s">
        <v>57</v>
      </c>
      <c r="B27" s="1">
        <v>43284</v>
      </c>
      <c r="C27" t="s">
        <v>11</v>
      </c>
      <c r="D27" t="s">
        <v>27</v>
      </c>
      <c r="E27">
        <v>22</v>
      </c>
      <c r="F27">
        <v>80</v>
      </c>
      <c r="G27">
        <v>1760</v>
      </c>
      <c r="H27">
        <v>0.03</v>
      </c>
      <c r="I27">
        <v>52.8</v>
      </c>
      <c r="J27" t="s">
        <v>17</v>
      </c>
    </row>
    <row r="28" spans="1:10" x14ac:dyDescent="0.25">
      <c r="A28" t="s">
        <v>58</v>
      </c>
      <c r="B28" s="1">
        <v>43284</v>
      </c>
      <c r="C28" t="s">
        <v>30</v>
      </c>
      <c r="D28" t="s">
        <v>16</v>
      </c>
      <c r="E28">
        <v>7</v>
      </c>
      <c r="F28">
        <v>16</v>
      </c>
      <c r="G28">
        <v>112</v>
      </c>
      <c r="H28">
        <v>0.08</v>
      </c>
      <c r="I28">
        <v>8.9600000000000009</v>
      </c>
      <c r="J28" t="s">
        <v>20</v>
      </c>
    </row>
    <row r="29" spans="1:10" x14ac:dyDescent="0.25">
      <c r="A29" t="s">
        <v>59</v>
      </c>
      <c r="B29" s="1">
        <v>43284</v>
      </c>
      <c r="C29" t="s">
        <v>15</v>
      </c>
      <c r="D29" t="s">
        <v>27</v>
      </c>
      <c r="E29">
        <v>13</v>
      </c>
      <c r="F29">
        <v>40</v>
      </c>
      <c r="G29">
        <v>520</v>
      </c>
      <c r="H29">
        <v>0.09</v>
      </c>
      <c r="I29">
        <v>46.8</v>
      </c>
      <c r="J29" t="s">
        <v>22</v>
      </c>
    </row>
    <row r="30" spans="1:10" x14ac:dyDescent="0.25">
      <c r="A30" t="s">
        <v>60</v>
      </c>
      <c r="B30" s="1">
        <v>43284</v>
      </c>
      <c r="C30" t="s">
        <v>19</v>
      </c>
      <c r="D30" t="s">
        <v>27</v>
      </c>
      <c r="E30">
        <v>8</v>
      </c>
      <c r="F30">
        <v>230</v>
      </c>
      <c r="G30">
        <v>1840</v>
      </c>
      <c r="H30">
        <v>0.05</v>
      </c>
      <c r="I30">
        <v>92</v>
      </c>
      <c r="J30" t="s">
        <v>25</v>
      </c>
    </row>
    <row r="31" spans="1:10" x14ac:dyDescent="0.25">
      <c r="A31" t="s">
        <v>61</v>
      </c>
      <c r="B31" s="1">
        <v>43284</v>
      </c>
      <c r="C31" t="s">
        <v>30</v>
      </c>
      <c r="D31" t="s">
        <v>27</v>
      </c>
      <c r="E31">
        <v>14</v>
      </c>
      <c r="F31">
        <v>16</v>
      </c>
      <c r="G31">
        <v>224</v>
      </c>
      <c r="H31">
        <v>0.12</v>
      </c>
      <c r="I31">
        <v>26.88</v>
      </c>
      <c r="J31" t="s">
        <v>28</v>
      </c>
    </row>
    <row r="32" spans="1:10" x14ac:dyDescent="0.25">
      <c r="A32" t="s">
        <v>62</v>
      </c>
      <c r="B32" s="1">
        <v>43284</v>
      </c>
      <c r="C32" t="s">
        <v>15</v>
      </c>
      <c r="D32" t="s">
        <v>31</v>
      </c>
      <c r="E32">
        <v>16</v>
      </c>
      <c r="F32">
        <v>40</v>
      </c>
      <c r="G32">
        <v>640</v>
      </c>
      <c r="H32">
        <v>0.09</v>
      </c>
      <c r="I32">
        <v>57.599999999999994</v>
      </c>
      <c r="J32" t="s">
        <v>32</v>
      </c>
    </row>
    <row r="33" spans="1:10" x14ac:dyDescent="0.25">
      <c r="A33" t="s">
        <v>63</v>
      </c>
      <c r="B33" s="1">
        <v>43285</v>
      </c>
      <c r="C33" t="s">
        <v>34</v>
      </c>
      <c r="D33" t="s">
        <v>16</v>
      </c>
      <c r="E33">
        <v>16</v>
      </c>
      <c r="F33">
        <v>150</v>
      </c>
      <c r="G33">
        <v>2400</v>
      </c>
      <c r="H33">
        <v>0.05</v>
      </c>
      <c r="I33">
        <v>120</v>
      </c>
      <c r="J33" t="s">
        <v>35</v>
      </c>
    </row>
    <row r="34" spans="1:10" x14ac:dyDescent="0.25">
      <c r="A34" t="s">
        <v>64</v>
      </c>
      <c r="B34" s="1">
        <v>43285</v>
      </c>
      <c r="C34" t="s">
        <v>15</v>
      </c>
      <c r="D34" t="s">
        <v>16</v>
      </c>
      <c r="E34">
        <v>12</v>
      </c>
      <c r="F34">
        <v>40</v>
      </c>
      <c r="G34">
        <v>480</v>
      </c>
      <c r="H34">
        <v>0.1</v>
      </c>
      <c r="I34">
        <v>48</v>
      </c>
      <c r="J34" t="s">
        <v>37</v>
      </c>
    </row>
    <row r="35" spans="1:10" x14ac:dyDescent="0.25">
      <c r="A35" t="s">
        <v>65</v>
      </c>
      <c r="B35" s="1">
        <v>43285</v>
      </c>
      <c r="C35" t="s">
        <v>11</v>
      </c>
      <c r="D35" t="s">
        <v>31</v>
      </c>
      <c r="E35">
        <v>17</v>
      </c>
      <c r="F35">
        <v>80</v>
      </c>
      <c r="G35">
        <v>1360</v>
      </c>
      <c r="H35">
        <v>7.0000000000000007E-2</v>
      </c>
      <c r="I35">
        <v>95.2</v>
      </c>
      <c r="J35" t="s">
        <v>39</v>
      </c>
    </row>
    <row r="36" spans="1:10" x14ac:dyDescent="0.25">
      <c r="A36" t="s">
        <v>66</v>
      </c>
      <c r="B36" s="1">
        <v>43285</v>
      </c>
      <c r="C36" t="s">
        <v>19</v>
      </c>
      <c r="D36" t="s">
        <v>27</v>
      </c>
      <c r="E36">
        <v>19</v>
      </c>
      <c r="F36">
        <v>230</v>
      </c>
      <c r="G36">
        <v>4370</v>
      </c>
      <c r="H36">
        <v>0.06</v>
      </c>
      <c r="I36">
        <v>262.2</v>
      </c>
      <c r="J36" t="s">
        <v>41</v>
      </c>
    </row>
    <row r="37" spans="1:10" x14ac:dyDescent="0.25">
      <c r="A37" t="s">
        <v>67</v>
      </c>
      <c r="B37" s="1">
        <v>43285</v>
      </c>
      <c r="C37" t="s">
        <v>19</v>
      </c>
      <c r="D37" t="s">
        <v>31</v>
      </c>
      <c r="E37">
        <v>22</v>
      </c>
      <c r="F37">
        <v>230</v>
      </c>
      <c r="G37">
        <v>5060</v>
      </c>
      <c r="H37">
        <v>0.1</v>
      </c>
      <c r="I37">
        <v>506</v>
      </c>
      <c r="J37" t="s">
        <v>43</v>
      </c>
    </row>
    <row r="38" spans="1:10" x14ac:dyDescent="0.25">
      <c r="A38" t="s">
        <v>68</v>
      </c>
      <c r="B38" s="1">
        <v>43285</v>
      </c>
      <c r="C38" t="s">
        <v>15</v>
      </c>
      <c r="D38" t="s">
        <v>27</v>
      </c>
      <c r="E38">
        <v>22</v>
      </c>
      <c r="F38">
        <v>40</v>
      </c>
      <c r="G38">
        <v>880</v>
      </c>
      <c r="H38">
        <v>0.01</v>
      </c>
      <c r="I38">
        <v>8.8000000000000007</v>
      </c>
      <c r="J38" t="s">
        <v>13</v>
      </c>
    </row>
    <row r="39" spans="1:10" x14ac:dyDescent="0.25">
      <c r="A39" t="s">
        <v>69</v>
      </c>
      <c r="B39" s="1">
        <v>43285</v>
      </c>
      <c r="C39" t="s">
        <v>30</v>
      </c>
      <c r="D39" t="s">
        <v>27</v>
      </c>
      <c r="E39">
        <v>10</v>
      </c>
      <c r="F39">
        <v>16</v>
      </c>
      <c r="G39">
        <v>160</v>
      </c>
      <c r="H39">
        <v>0.04</v>
      </c>
      <c r="I39">
        <v>6.4</v>
      </c>
      <c r="J39" t="s">
        <v>17</v>
      </c>
    </row>
    <row r="40" spans="1:10" x14ac:dyDescent="0.25">
      <c r="A40" t="s">
        <v>70</v>
      </c>
      <c r="B40" s="1">
        <v>43285</v>
      </c>
      <c r="C40" t="s">
        <v>15</v>
      </c>
      <c r="D40" t="s">
        <v>16</v>
      </c>
      <c r="E40">
        <v>4</v>
      </c>
      <c r="F40">
        <v>40</v>
      </c>
      <c r="G40">
        <v>160</v>
      </c>
      <c r="H40">
        <v>0.12</v>
      </c>
      <c r="I40">
        <v>19.2</v>
      </c>
      <c r="J40" t="s">
        <v>20</v>
      </c>
    </row>
    <row r="41" spans="1:10" x14ac:dyDescent="0.25">
      <c r="A41" t="s">
        <v>71</v>
      </c>
      <c r="B41" s="1">
        <v>43285</v>
      </c>
      <c r="C41" t="s">
        <v>15</v>
      </c>
      <c r="D41" t="s">
        <v>31</v>
      </c>
      <c r="E41">
        <v>20</v>
      </c>
      <c r="F41">
        <v>40</v>
      </c>
      <c r="G41">
        <v>800</v>
      </c>
      <c r="H41">
        <v>0.05</v>
      </c>
      <c r="I41">
        <v>40</v>
      </c>
      <c r="J41" t="s">
        <v>22</v>
      </c>
    </row>
    <row r="42" spans="1:10" x14ac:dyDescent="0.25">
      <c r="A42" t="s">
        <v>72</v>
      </c>
      <c r="B42" s="1">
        <v>43286</v>
      </c>
      <c r="C42" t="s">
        <v>19</v>
      </c>
      <c r="D42" t="s">
        <v>27</v>
      </c>
      <c r="E42">
        <v>23</v>
      </c>
      <c r="F42">
        <v>230</v>
      </c>
      <c r="G42">
        <v>5290</v>
      </c>
      <c r="H42">
        <v>0.06</v>
      </c>
      <c r="I42">
        <v>317.39999999999998</v>
      </c>
      <c r="J42" t="s">
        <v>25</v>
      </c>
    </row>
    <row r="43" spans="1:10" x14ac:dyDescent="0.25">
      <c r="A43" t="s">
        <v>73</v>
      </c>
      <c r="B43" s="1">
        <v>43286</v>
      </c>
      <c r="C43" t="s">
        <v>15</v>
      </c>
      <c r="D43" t="s">
        <v>24</v>
      </c>
      <c r="E43">
        <v>20</v>
      </c>
      <c r="F43">
        <v>40</v>
      </c>
      <c r="G43">
        <v>800</v>
      </c>
      <c r="H43">
        <v>0.01</v>
      </c>
      <c r="I43">
        <v>8</v>
      </c>
      <c r="J43" t="s">
        <v>28</v>
      </c>
    </row>
    <row r="44" spans="1:10" x14ac:dyDescent="0.25">
      <c r="A44" t="s">
        <v>74</v>
      </c>
      <c r="B44" s="1">
        <v>43286</v>
      </c>
      <c r="C44" t="s">
        <v>34</v>
      </c>
      <c r="D44" t="s">
        <v>24</v>
      </c>
      <c r="E44">
        <v>20</v>
      </c>
      <c r="F44">
        <v>150</v>
      </c>
      <c r="G44">
        <v>3000</v>
      </c>
      <c r="H44">
        <v>0.04</v>
      </c>
      <c r="I44">
        <v>120</v>
      </c>
      <c r="J44" t="s">
        <v>32</v>
      </c>
    </row>
    <row r="45" spans="1:10" x14ac:dyDescent="0.25">
      <c r="A45" t="s">
        <v>75</v>
      </c>
      <c r="B45" s="1">
        <v>43286</v>
      </c>
      <c r="C45" t="s">
        <v>11</v>
      </c>
      <c r="D45" t="s">
        <v>16</v>
      </c>
      <c r="E45">
        <v>9</v>
      </c>
      <c r="F45">
        <v>80</v>
      </c>
      <c r="G45">
        <v>720</v>
      </c>
      <c r="H45">
        <v>0.03</v>
      </c>
      <c r="I45">
        <v>21.599999999999998</v>
      </c>
      <c r="J45" t="s">
        <v>35</v>
      </c>
    </row>
    <row r="46" spans="1:10" x14ac:dyDescent="0.25">
      <c r="A46" t="s">
        <v>76</v>
      </c>
      <c r="B46" s="1">
        <v>43286</v>
      </c>
      <c r="C46" t="s">
        <v>19</v>
      </c>
      <c r="D46" t="s">
        <v>12</v>
      </c>
      <c r="E46">
        <v>7</v>
      </c>
      <c r="F46">
        <v>230</v>
      </c>
      <c r="G46">
        <v>1610</v>
      </c>
      <c r="H46">
        <v>0.02</v>
      </c>
      <c r="I46">
        <v>32.200000000000003</v>
      </c>
      <c r="J46" t="s">
        <v>37</v>
      </c>
    </row>
    <row r="47" spans="1:10" x14ac:dyDescent="0.25">
      <c r="A47" t="s">
        <v>77</v>
      </c>
      <c r="B47" s="1">
        <v>43286</v>
      </c>
      <c r="C47" t="s">
        <v>19</v>
      </c>
      <c r="D47" t="s">
        <v>12</v>
      </c>
      <c r="E47">
        <v>3</v>
      </c>
      <c r="F47">
        <v>230</v>
      </c>
      <c r="G47">
        <v>690</v>
      </c>
      <c r="H47">
        <v>0.06</v>
      </c>
      <c r="I47">
        <v>41.4</v>
      </c>
      <c r="J47" t="s">
        <v>39</v>
      </c>
    </row>
    <row r="48" spans="1:10" x14ac:dyDescent="0.25">
      <c r="A48" t="s">
        <v>78</v>
      </c>
      <c r="B48" s="1">
        <v>43286</v>
      </c>
      <c r="C48" t="s">
        <v>34</v>
      </c>
      <c r="D48" t="s">
        <v>12</v>
      </c>
      <c r="E48">
        <v>13</v>
      </c>
      <c r="F48">
        <v>150</v>
      </c>
      <c r="G48">
        <v>1950</v>
      </c>
      <c r="H48">
        <v>0.05</v>
      </c>
      <c r="I48">
        <v>97.5</v>
      </c>
      <c r="J48" t="s">
        <v>41</v>
      </c>
    </row>
    <row r="49" spans="1:10" x14ac:dyDescent="0.25">
      <c r="A49" t="s">
        <v>79</v>
      </c>
      <c r="B49" s="1">
        <v>43286</v>
      </c>
      <c r="C49" t="s">
        <v>11</v>
      </c>
      <c r="D49" t="s">
        <v>12</v>
      </c>
      <c r="E49">
        <v>17</v>
      </c>
      <c r="F49">
        <v>80</v>
      </c>
      <c r="G49">
        <v>1360</v>
      </c>
      <c r="H49">
        <v>0.09</v>
      </c>
      <c r="I49">
        <v>122.39999999999999</v>
      </c>
      <c r="J49" t="s">
        <v>43</v>
      </c>
    </row>
    <row r="50" spans="1:10" x14ac:dyDescent="0.25">
      <c r="A50" t="s">
        <v>80</v>
      </c>
      <c r="B50" s="1">
        <v>43287</v>
      </c>
      <c r="C50" t="s">
        <v>15</v>
      </c>
      <c r="D50" t="s">
        <v>27</v>
      </c>
      <c r="E50">
        <v>18</v>
      </c>
      <c r="F50">
        <v>40</v>
      </c>
      <c r="G50">
        <v>720</v>
      </c>
      <c r="H50">
        <v>0.06</v>
      </c>
      <c r="I50">
        <v>43.199999999999996</v>
      </c>
      <c r="J50" t="s">
        <v>13</v>
      </c>
    </row>
    <row r="51" spans="1:10" x14ac:dyDescent="0.25">
      <c r="A51" t="s">
        <v>81</v>
      </c>
      <c r="B51" s="1">
        <v>43287</v>
      </c>
      <c r="C51" t="s">
        <v>30</v>
      </c>
      <c r="D51" t="s">
        <v>24</v>
      </c>
      <c r="E51">
        <v>23</v>
      </c>
      <c r="F51">
        <v>16</v>
      </c>
      <c r="G51">
        <v>368</v>
      </c>
      <c r="H51">
        <v>0.11</v>
      </c>
      <c r="I51">
        <v>40.479999999999997</v>
      </c>
      <c r="J51" t="s">
        <v>17</v>
      </c>
    </row>
    <row r="52" spans="1:10" x14ac:dyDescent="0.25">
      <c r="A52" t="s">
        <v>82</v>
      </c>
      <c r="B52" s="1">
        <v>43287</v>
      </c>
      <c r="C52" t="s">
        <v>19</v>
      </c>
      <c r="D52" t="s">
        <v>24</v>
      </c>
      <c r="E52">
        <v>20</v>
      </c>
      <c r="F52">
        <v>230</v>
      </c>
      <c r="G52">
        <v>4600</v>
      </c>
      <c r="H52">
        <v>0.06</v>
      </c>
      <c r="I52">
        <v>276</v>
      </c>
      <c r="J52" t="s">
        <v>20</v>
      </c>
    </row>
    <row r="53" spans="1:10" x14ac:dyDescent="0.25">
      <c r="A53" t="s">
        <v>83</v>
      </c>
      <c r="B53" s="1">
        <v>43287</v>
      </c>
      <c r="C53" t="s">
        <v>30</v>
      </c>
      <c r="D53" t="s">
        <v>12</v>
      </c>
      <c r="E53">
        <v>11</v>
      </c>
      <c r="F53">
        <v>16</v>
      </c>
      <c r="G53">
        <v>176</v>
      </c>
      <c r="H53">
        <v>0.09</v>
      </c>
      <c r="I53">
        <v>15.84</v>
      </c>
      <c r="J53" t="s">
        <v>22</v>
      </c>
    </row>
    <row r="54" spans="1:10" x14ac:dyDescent="0.25">
      <c r="A54" t="s">
        <v>84</v>
      </c>
      <c r="B54" s="1">
        <v>43287</v>
      </c>
      <c r="C54" t="s">
        <v>34</v>
      </c>
      <c r="D54" t="s">
        <v>31</v>
      </c>
      <c r="E54">
        <v>15</v>
      </c>
      <c r="F54">
        <v>150</v>
      </c>
      <c r="G54">
        <v>2250</v>
      </c>
      <c r="H54">
        <v>7.0000000000000007E-2</v>
      </c>
      <c r="I54">
        <v>157.50000000000003</v>
      </c>
      <c r="J54" t="s">
        <v>25</v>
      </c>
    </row>
    <row r="55" spans="1:10" x14ac:dyDescent="0.25">
      <c r="A55" t="s">
        <v>85</v>
      </c>
      <c r="B55" s="1">
        <v>43287</v>
      </c>
      <c r="C55" t="s">
        <v>19</v>
      </c>
      <c r="D55" t="s">
        <v>16</v>
      </c>
      <c r="E55">
        <v>6</v>
      </c>
      <c r="F55">
        <v>230</v>
      </c>
      <c r="G55">
        <v>1380</v>
      </c>
      <c r="H55">
        <v>0.1</v>
      </c>
      <c r="I55">
        <v>138</v>
      </c>
      <c r="J55" t="s">
        <v>28</v>
      </c>
    </row>
    <row r="56" spans="1:10" x14ac:dyDescent="0.25">
      <c r="A56" t="s">
        <v>86</v>
      </c>
      <c r="B56" s="1">
        <v>43287</v>
      </c>
      <c r="C56" t="s">
        <v>15</v>
      </c>
      <c r="D56" t="s">
        <v>12</v>
      </c>
      <c r="E56">
        <v>22</v>
      </c>
      <c r="F56">
        <v>40</v>
      </c>
      <c r="G56">
        <v>880</v>
      </c>
      <c r="H56">
        <v>0.02</v>
      </c>
      <c r="I56">
        <v>17.600000000000001</v>
      </c>
      <c r="J56" t="s">
        <v>32</v>
      </c>
    </row>
    <row r="57" spans="1:10" x14ac:dyDescent="0.25">
      <c r="A57" t="s">
        <v>87</v>
      </c>
      <c r="B57" s="1">
        <v>43287</v>
      </c>
      <c r="C57" t="s">
        <v>15</v>
      </c>
      <c r="D57" t="s">
        <v>12</v>
      </c>
      <c r="E57">
        <v>15</v>
      </c>
      <c r="F57">
        <v>40</v>
      </c>
      <c r="G57">
        <v>600</v>
      </c>
      <c r="H57">
        <v>0.06</v>
      </c>
      <c r="I57">
        <v>36</v>
      </c>
      <c r="J57" t="s">
        <v>35</v>
      </c>
    </row>
    <row r="58" spans="1:10" x14ac:dyDescent="0.25">
      <c r="A58" t="s">
        <v>88</v>
      </c>
      <c r="B58" s="1">
        <v>43287</v>
      </c>
      <c r="C58" t="s">
        <v>30</v>
      </c>
      <c r="D58" t="s">
        <v>24</v>
      </c>
      <c r="E58">
        <v>12</v>
      </c>
      <c r="F58">
        <v>16</v>
      </c>
      <c r="G58">
        <v>192</v>
      </c>
      <c r="H58">
        <v>0.03</v>
      </c>
      <c r="I58">
        <v>5.76</v>
      </c>
      <c r="J58" t="s">
        <v>37</v>
      </c>
    </row>
    <row r="59" spans="1:10" x14ac:dyDescent="0.25">
      <c r="A59" t="s">
        <v>89</v>
      </c>
      <c r="B59" s="1">
        <v>43287</v>
      </c>
      <c r="C59" t="s">
        <v>30</v>
      </c>
      <c r="D59" t="s">
        <v>31</v>
      </c>
      <c r="E59">
        <v>22</v>
      </c>
      <c r="F59">
        <v>16</v>
      </c>
      <c r="G59">
        <v>352</v>
      </c>
      <c r="H59">
        <v>0.12</v>
      </c>
      <c r="I59">
        <v>42.239999999999995</v>
      </c>
      <c r="J59" t="s">
        <v>39</v>
      </c>
    </row>
    <row r="60" spans="1:10" x14ac:dyDescent="0.25">
      <c r="A60" t="s">
        <v>90</v>
      </c>
      <c r="B60" s="1">
        <v>43287</v>
      </c>
      <c r="C60" t="s">
        <v>11</v>
      </c>
      <c r="D60" t="s">
        <v>12</v>
      </c>
      <c r="E60">
        <v>21</v>
      </c>
      <c r="F60">
        <v>80</v>
      </c>
      <c r="G60">
        <v>1680</v>
      </c>
      <c r="H60">
        <v>0.04</v>
      </c>
      <c r="I60">
        <v>67.2</v>
      </c>
      <c r="J60" t="s">
        <v>41</v>
      </c>
    </row>
    <row r="61" spans="1:10" x14ac:dyDescent="0.25">
      <c r="A61" t="s">
        <v>91</v>
      </c>
      <c r="B61" s="1">
        <v>43287</v>
      </c>
      <c r="C61" t="s">
        <v>34</v>
      </c>
      <c r="D61" t="s">
        <v>12</v>
      </c>
      <c r="E61">
        <v>22</v>
      </c>
      <c r="F61">
        <v>150</v>
      </c>
      <c r="G61">
        <v>3300</v>
      </c>
      <c r="H61">
        <v>0.05</v>
      </c>
      <c r="I61">
        <v>165</v>
      </c>
      <c r="J61" t="s">
        <v>43</v>
      </c>
    </row>
    <row r="62" spans="1:10" x14ac:dyDescent="0.25">
      <c r="A62" t="s">
        <v>92</v>
      </c>
      <c r="B62" s="1">
        <v>43287</v>
      </c>
      <c r="C62" t="s">
        <v>11</v>
      </c>
      <c r="D62" t="s">
        <v>31</v>
      </c>
      <c r="E62">
        <v>21</v>
      </c>
      <c r="F62">
        <v>80</v>
      </c>
      <c r="G62">
        <v>1680</v>
      </c>
      <c r="H62">
        <v>0.09</v>
      </c>
      <c r="I62">
        <v>151.19999999999999</v>
      </c>
      <c r="J62" t="s">
        <v>13</v>
      </c>
    </row>
    <row r="63" spans="1:10" x14ac:dyDescent="0.25">
      <c r="A63" t="s">
        <v>93</v>
      </c>
      <c r="B63" s="1">
        <v>43287</v>
      </c>
      <c r="C63" t="s">
        <v>11</v>
      </c>
      <c r="D63" t="s">
        <v>27</v>
      </c>
      <c r="E63">
        <v>10</v>
      </c>
      <c r="F63">
        <v>80</v>
      </c>
      <c r="G63">
        <v>800</v>
      </c>
      <c r="H63">
        <v>0.1</v>
      </c>
      <c r="I63">
        <v>80</v>
      </c>
      <c r="J63" t="s">
        <v>17</v>
      </c>
    </row>
    <row r="64" spans="1:10" x14ac:dyDescent="0.25">
      <c r="A64" t="s">
        <v>94</v>
      </c>
      <c r="B64" s="1">
        <v>43287</v>
      </c>
      <c r="C64" t="s">
        <v>19</v>
      </c>
      <c r="D64" t="s">
        <v>16</v>
      </c>
      <c r="E64">
        <v>15</v>
      </c>
      <c r="F64">
        <v>230</v>
      </c>
      <c r="G64">
        <v>3450</v>
      </c>
      <c r="H64">
        <v>0.09</v>
      </c>
      <c r="I64">
        <v>310.5</v>
      </c>
      <c r="J64" t="s">
        <v>20</v>
      </c>
    </row>
    <row r="65" spans="1:10" x14ac:dyDescent="0.25">
      <c r="A65" t="s">
        <v>95</v>
      </c>
      <c r="B65" s="1">
        <v>43288</v>
      </c>
      <c r="C65" t="s">
        <v>11</v>
      </c>
      <c r="D65" t="s">
        <v>12</v>
      </c>
      <c r="E65">
        <v>14</v>
      </c>
      <c r="F65">
        <v>80</v>
      </c>
      <c r="G65">
        <v>1120</v>
      </c>
      <c r="H65">
        <v>0.08</v>
      </c>
      <c r="I65">
        <v>89.600000000000009</v>
      </c>
      <c r="J65" t="s">
        <v>22</v>
      </c>
    </row>
    <row r="66" spans="1:10" x14ac:dyDescent="0.25">
      <c r="A66" t="s">
        <v>96</v>
      </c>
      <c r="B66" s="1">
        <v>43288</v>
      </c>
      <c r="C66" t="s">
        <v>11</v>
      </c>
      <c r="D66" t="s">
        <v>31</v>
      </c>
      <c r="E66">
        <v>10</v>
      </c>
      <c r="F66">
        <v>80</v>
      </c>
      <c r="G66">
        <v>800</v>
      </c>
      <c r="H66">
        <v>0.06</v>
      </c>
      <c r="I66">
        <v>48</v>
      </c>
      <c r="J66" t="s">
        <v>25</v>
      </c>
    </row>
    <row r="67" spans="1:10" x14ac:dyDescent="0.25">
      <c r="A67" t="s">
        <v>97</v>
      </c>
      <c r="B67" s="1">
        <v>43288</v>
      </c>
      <c r="C67" t="s">
        <v>34</v>
      </c>
      <c r="D67" t="s">
        <v>12</v>
      </c>
      <c r="E67">
        <v>5</v>
      </c>
      <c r="F67">
        <v>150</v>
      </c>
      <c r="G67">
        <v>750</v>
      </c>
      <c r="H67">
        <v>0.11</v>
      </c>
      <c r="I67">
        <v>82.5</v>
      </c>
      <c r="J67" t="s">
        <v>28</v>
      </c>
    </row>
    <row r="68" spans="1:10" x14ac:dyDescent="0.25">
      <c r="A68" t="s">
        <v>98</v>
      </c>
      <c r="B68" s="1">
        <v>43288</v>
      </c>
      <c r="C68" t="s">
        <v>19</v>
      </c>
      <c r="D68" t="s">
        <v>27</v>
      </c>
      <c r="E68">
        <v>3</v>
      </c>
      <c r="F68">
        <v>230</v>
      </c>
      <c r="G68">
        <v>690</v>
      </c>
      <c r="H68">
        <v>0.01</v>
      </c>
      <c r="I68">
        <v>6.9</v>
      </c>
      <c r="J68" t="s">
        <v>32</v>
      </c>
    </row>
    <row r="69" spans="1:10" x14ac:dyDescent="0.25">
      <c r="A69" t="s">
        <v>99</v>
      </c>
      <c r="B69" s="1">
        <v>43288</v>
      </c>
      <c r="C69" t="s">
        <v>15</v>
      </c>
      <c r="D69" t="s">
        <v>27</v>
      </c>
      <c r="E69">
        <v>4</v>
      </c>
      <c r="F69">
        <v>40</v>
      </c>
      <c r="G69">
        <v>160</v>
      </c>
      <c r="H69">
        <v>0.05</v>
      </c>
      <c r="I69">
        <v>8</v>
      </c>
      <c r="J69" t="s">
        <v>35</v>
      </c>
    </row>
    <row r="70" spans="1:10" x14ac:dyDescent="0.25">
      <c r="A70" t="s">
        <v>100</v>
      </c>
      <c r="B70" s="1">
        <v>43288</v>
      </c>
      <c r="C70" t="s">
        <v>34</v>
      </c>
      <c r="D70" t="s">
        <v>24</v>
      </c>
      <c r="E70">
        <v>18</v>
      </c>
      <c r="F70">
        <v>150</v>
      </c>
      <c r="G70">
        <v>2700</v>
      </c>
      <c r="H70">
        <v>0.06</v>
      </c>
      <c r="I70">
        <v>162</v>
      </c>
      <c r="J70" t="s">
        <v>37</v>
      </c>
    </row>
    <row r="71" spans="1:10" x14ac:dyDescent="0.25">
      <c r="A71" t="s">
        <v>101</v>
      </c>
      <c r="B71" s="1">
        <v>43288</v>
      </c>
      <c r="C71" t="s">
        <v>15</v>
      </c>
      <c r="D71" t="s">
        <v>31</v>
      </c>
      <c r="E71">
        <v>20</v>
      </c>
      <c r="F71">
        <v>40</v>
      </c>
      <c r="G71">
        <v>800</v>
      </c>
      <c r="H71">
        <v>0.1</v>
      </c>
      <c r="I71">
        <v>80</v>
      </c>
      <c r="J71" t="s">
        <v>39</v>
      </c>
    </row>
    <row r="72" spans="1:10" x14ac:dyDescent="0.25">
      <c r="A72" t="s">
        <v>102</v>
      </c>
      <c r="B72" s="1">
        <v>43288</v>
      </c>
      <c r="C72" t="s">
        <v>11</v>
      </c>
      <c r="D72" t="s">
        <v>27</v>
      </c>
      <c r="E72">
        <v>16</v>
      </c>
      <c r="F72">
        <v>80</v>
      </c>
      <c r="G72">
        <v>1280</v>
      </c>
      <c r="H72">
        <v>0.05</v>
      </c>
      <c r="I72">
        <v>64</v>
      </c>
      <c r="J72" t="s">
        <v>13</v>
      </c>
    </row>
    <row r="73" spans="1:10" x14ac:dyDescent="0.25">
      <c r="A73" t="s">
        <v>103</v>
      </c>
      <c r="B73" s="1">
        <v>43288</v>
      </c>
      <c r="C73" t="s">
        <v>15</v>
      </c>
      <c r="D73" t="s">
        <v>24</v>
      </c>
      <c r="E73">
        <v>4</v>
      </c>
      <c r="F73">
        <v>40</v>
      </c>
      <c r="G73">
        <v>160</v>
      </c>
      <c r="H73">
        <v>0.06</v>
      </c>
      <c r="I73">
        <v>9.6</v>
      </c>
      <c r="J73" t="s">
        <v>17</v>
      </c>
    </row>
    <row r="74" spans="1:10" x14ac:dyDescent="0.25">
      <c r="A74" t="s">
        <v>104</v>
      </c>
      <c r="B74" s="1">
        <v>43288</v>
      </c>
      <c r="C74" t="s">
        <v>15</v>
      </c>
      <c r="D74" t="s">
        <v>16</v>
      </c>
      <c r="E74">
        <v>4</v>
      </c>
      <c r="F74">
        <v>40</v>
      </c>
      <c r="G74">
        <v>160</v>
      </c>
      <c r="H74">
        <v>0.03</v>
      </c>
      <c r="I74">
        <v>4.8</v>
      </c>
      <c r="J74" t="s">
        <v>20</v>
      </c>
    </row>
    <row r="75" spans="1:10" x14ac:dyDescent="0.25">
      <c r="A75" t="s">
        <v>105</v>
      </c>
      <c r="B75" s="1">
        <v>43288</v>
      </c>
      <c r="C75" t="s">
        <v>15</v>
      </c>
      <c r="D75" t="s">
        <v>16</v>
      </c>
      <c r="E75">
        <v>15</v>
      </c>
      <c r="F75">
        <v>40</v>
      </c>
      <c r="G75">
        <v>600</v>
      </c>
      <c r="H75">
        <v>0.02</v>
      </c>
      <c r="I75">
        <v>12</v>
      </c>
      <c r="J75" t="s">
        <v>22</v>
      </c>
    </row>
    <row r="76" spans="1:10" x14ac:dyDescent="0.25">
      <c r="A76" t="s">
        <v>106</v>
      </c>
      <c r="B76" s="1">
        <v>43288</v>
      </c>
      <c r="C76" t="s">
        <v>15</v>
      </c>
      <c r="D76" t="s">
        <v>24</v>
      </c>
      <c r="E76">
        <v>20</v>
      </c>
      <c r="F76">
        <v>40</v>
      </c>
      <c r="G76">
        <v>800</v>
      </c>
      <c r="H76">
        <v>0.01</v>
      </c>
      <c r="I76">
        <v>8</v>
      </c>
      <c r="J76" t="s">
        <v>25</v>
      </c>
    </row>
    <row r="77" spans="1:10" x14ac:dyDescent="0.25">
      <c r="A77" t="s">
        <v>107</v>
      </c>
      <c r="B77" s="1">
        <v>43288</v>
      </c>
      <c r="C77" t="s">
        <v>30</v>
      </c>
      <c r="D77" t="s">
        <v>31</v>
      </c>
      <c r="E77">
        <v>14</v>
      </c>
      <c r="F77">
        <v>16</v>
      </c>
      <c r="G77">
        <v>224</v>
      </c>
      <c r="H77">
        <v>0.06</v>
      </c>
      <c r="I77">
        <v>13.44</v>
      </c>
      <c r="J77" t="s">
        <v>28</v>
      </c>
    </row>
    <row r="78" spans="1:10" x14ac:dyDescent="0.25">
      <c r="A78" t="s">
        <v>108</v>
      </c>
      <c r="B78" s="1">
        <v>43289</v>
      </c>
      <c r="C78" t="s">
        <v>34</v>
      </c>
      <c r="D78" t="s">
        <v>24</v>
      </c>
      <c r="E78">
        <v>11</v>
      </c>
      <c r="F78">
        <v>150</v>
      </c>
      <c r="G78">
        <v>1650</v>
      </c>
      <c r="H78">
        <v>0.11</v>
      </c>
      <c r="I78">
        <v>181.5</v>
      </c>
      <c r="J78" t="s">
        <v>32</v>
      </c>
    </row>
    <row r="79" spans="1:10" x14ac:dyDescent="0.25">
      <c r="A79" t="s">
        <v>109</v>
      </c>
      <c r="B79" s="1">
        <v>43289</v>
      </c>
      <c r="C79" t="s">
        <v>34</v>
      </c>
      <c r="D79" t="s">
        <v>24</v>
      </c>
      <c r="E79">
        <v>9</v>
      </c>
      <c r="F79">
        <v>150</v>
      </c>
      <c r="G79">
        <v>1350</v>
      </c>
      <c r="H79">
        <v>0.02</v>
      </c>
      <c r="I79">
        <v>27</v>
      </c>
      <c r="J79" t="s">
        <v>35</v>
      </c>
    </row>
    <row r="80" spans="1:10" x14ac:dyDescent="0.25">
      <c r="A80" t="s">
        <v>110</v>
      </c>
      <c r="B80" s="1">
        <v>43289</v>
      </c>
      <c r="C80" t="s">
        <v>30</v>
      </c>
      <c r="D80" t="s">
        <v>31</v>
      </c>
      <c r="E80">
        <v>11</v>
      </c>
      <c r="F80">
        <v>16</v>
      </c>
      <c r="G80">
        <v>176</v>
      </c>
      <c r="H80">
        <v>0.12</v>
      </c>
      <c r="I80">
        <v>21.119999999999997</v>
      </c>
      <c r="J80" t="s">
        <v>37</v>
      </c>
    </row>
    <row r="81" spans="1:10" x14ac:dyDescent="0.25">
      <c r="A81" t="s">
        <v>111</v>
      </c>
      <c r="B81" s="1">
        <v>43289</v>
      </c>
      <c r="C81" t="s">
        <v>15</v>
      </c>
      <c r="D81" t="s">
        <v>24</v>
      </c>
      <c r="E81">
        <v>13</v>
      </c>
      <c r="F81">
        <v>40</v>
      </c>
      <c r="G81">
        <v>520</v>
      </c>
      <c r="H81">
        <v>0.02</v>
      </c>
      <c r="I81">
        <v>10.4</v>
      </c>
      <c r="J81" t="s">
        <v>39</v>
      </c>
    </row>
    <row r="82" spans="1:10" x14ac:dyDescent="0.25">
      <c r="A82" t="s">
        <v>112</v>
      </c>
      <c r="B82" s="1">
        <v>43289</v>
      </c>
      <c r="C82" t="s">
        <v>15</v>
      </c>
      <c r="D82" t="s">
        <v>24</v>
      </c>
      <c r="E82">
        <v>4</v>
      </c>
      <c r="F82">
        <v>40</v>
      </c>
      <c r="G82">
        <v>160</v>
      </c>
      <c r="H82">
        <v>0.1</v>
      </c>
      <c r="I82">
        <v>16</v>
      </c>
      <c r="J82" t="s">
        <v>41</v>
      </c>
    </row>
    <row r="83" spans="1:10" x14ac:dyDescent="0.25">
      <c r="A83" t="s">
        <v>113</v>
      </c>
      <c r="B83" s="1">
        <v>43289</v>
      </c>
      <c r="C83" t="s">
        <v>19</v>
      </c>
      <c r="D83" t="s">
        <v>12</v>
      </c>
      <c r="E83">
        <v>3</v>
      </c>
      <c r="F83">
        <v>230</v>
      </c>
      <c r="G83">
        <v>690</v>
      </c>
      <c r="H83">
        <v>0.11</v>
      </c>
      <c r="I83">
        <v>75.900000000000006</v>
      </c>
      <c r="J83" t="s">
        <v>43</v>
      </c>
    </row>
    <row r="84" spans="1:10" x14ac:dyDescent="0.25">
      <c r="A84" t="s">
        <v>114</v>
      </c>
      <c r="B84" s="1">
        <v>43289</v>
      </c>
      <c r="C84" t="s">
        <v>11</v>
      </c>
      <c r="D84" t="s">
        <v>24</v>
      </c>
      <c r="E84">
        <v>6</v>
      </c>
      <c r="F84">
        <v>80</v>
      </c>
      <c r="G84">
        <v>480</v>
      </c>
      <c r="H84">
        <v>0.09</v>
      </c>
      <c r="I84">
        <v>43.199999999999996</v>
      </c>
      <c r="J84" t="s">
        <v>13</v>
      </c>
    </row>
    <row r="85" spans="1:10" x14ac:dyDescent="0.25">
      <c r="A85" t="s">
        <v>115</v>
      </c>
      <c r="B85" s="1">
        <v>43289</v>
      </c>
      <c r="C85" t="s">
        <v>34</v>
      </c>
      <c r="D85" t="s">
        <v>12</v>
      </c>
      <c r="E85">
        <v>9</v>
      </c>
      <c r="F85">
        <v>150</v>
      </c>
      <c r="G85">
        <v>1350</v>
      </c>
      <c r="H85">
        <v>0.1</v>
      </c>
      <c r="I85">
        <v>135</v>
      </c>
      <c r="J85" t="s">
        <v>17</v>
      </c>
    </row>
    <row r="86" spans="1:10" x14ac:dyDescent="0.25">
      <c r="A86" t="s">
        <v>116</v>
      </c>
      <c r="B86" s="1">
        <v>43289</v>
      </c>
      <c r="C86" t="s">
        <v>11</v>
      </c>
      <c r="D86" t="s">
        <v>16</v>
      </c>
      <c r="E86">
        <v>14</v>
      </c>
      <c r="F86">
        <v>80</v>
      </c>
      <c r="G86">
        <v>1120</v>
      </c>
      <c r="H86">
        <v>0.11</v>
      </c>
      <c r="I86">
        <v>123.2</v>
      </c>
      <c r="J86" t="s">
        <v>20</v>
      </c>
    </row>
    <row r="87" spans="1:10" x14ac:dyDescent="0.25">
      <c r="A87" t="s">
        <v>117</v>
      </c>
      <c r="B87" s="1">
        <v>43289</v>
      </c>
      <c r="C87" t="s">
        <v>11</v>
      </c>
      <c r="D87" t="s">
        <v>12</v>
      </c>
      <c r="E87">
        <v>18</v>
      </c>
      <c r="F87">
        <v>80</v>
      </c>
      <c r="G87">
        <v>1440</v>
      </c>
      <c r="H87">
        <v>0.02</v>
      </c>
      <c r="I87">
        <v>28.8</v>
      </c>
      <c r="J87" t="s">
        <v>22</v>
      </c>
    </row>
    <row r="88" spans="1:10" x14ac:dyDescent="0.25">
      <c r="A88" t="s">
        <v>118</v>
      </c>
      <c r="B88" s="1">
        <v>43289</v>
      </c>
      <c r="C88" t="s">
        <v>15</v>
      </c>
      <c r="D88" t="s">
        <v>12</v>
      </c>
      <c r="E88">
        <v>20</v>
      </c>
      <c r="F88">
        <v>40</v>
      </c>
      <c r="G88">
        <v>800</v>
      </c>
      <c r="H88">
        <v>0.04</v>
      </c>
      <c r="I88">
        <v>32</v>
      </c>
      <c r="J88" t="s">
        <v>25</v>
      </c>
    </row>
    <row r="89" spans="1:10" x14ac:dyDescent="0.25">
      <c r="A89" t="s">
        <v>119</v>
      </c>
      <c r="B89" s="1">
        <v>43290</v>
      </c>
      <c r="C89" t="s">
        <v>30</v>
      </c>
      <c r="D89" t="s">
        <v>24</v>
      </c>
      <c r="E89">
        <v>8</v>
      </c>
      <c r="F89">
        <v>16</v>
      </c>
      <c r="G89">
        <v>128</v>
      </c>
      <c r="H89">
        <v>0.03</v>
      </c>
      <c r="I89">
        <v>3.84</v>
      </c>
      <c r="J89" t="s">
        <v>28</v>
      </c>
    </row>
    <row r="90" spans="1:10" x14ac:dyDescent="0.25">
      <c r="A90" t="s">
        <v>120</v>
      </c>
      <c r="B90" s="1">
        <v>43290</v>
      </c>
      <c r="C90" t="s">
        <v>11</v>
      </c>
      <c r="D90" t="s">
        <v>16</v>
      </c>
      <c r="E90">
        <v>14</v>
      </c>
      <c r="F90">
        <v>80</v>
      </c>
      <c r="G90">
        <v>1120</v>
      </c>
      <c r="H90">
        <v>0.06</v>
      </c>
      <c r="I90">
        <v>67.2</v>
      </c>
      <c r="J90" t="s">
        <v>32</v>
      </c>
    </row>
    <row r="91" spans="1:10" x14ac:dyDescent="0.25">
      <c r="A91" t="s">
        <v>121</v>
      </c>
      <c r="B91" s="1">
        <v>43290</v>
      </c>
      <c r="C91" t="s">
        <v>34</v>
      </c>
      <c r="D91" t="s">
        <v>12</v>
      </c>
      <c r="E91">
        <v>20</v>
      </c>
      <c r="F91">
        <v>150</v>
      </c>
      <c r="G91">
        <v>3000</v>
      </c>
      <c r="H91">
        <v>0.01</v>
      </c>
      <c r="I91">
        <v>30</v>
      </c>
      <c r="J91" t="s">
        <v>35</v>
      </c>
    </row>
    <row r="92" spans="1:10" x14ac:dyDescent="0.25">
      <c r="A92" t="s">
        <v>122</v>
      </c>
      <c r="B92" s="1">
        <v>43290</v>
      </c>
      <c r="C92" t="s">
        <v>15</v>
      </c>
      <c r="D92" t="s">
        <v>27</v>
      </c>
      <c r="E92">
        <v>15</v>
      </c>
      <c r="F92">
        <v>40</v>
      </c>
      <c r="G92">
        <v>600</v>
      </c>
      <c r="H92">
        <v>0.03</v>
      </c>
      <c r="I92">
        <v>18</v>
      </c>
      <c r="J92" t="s">
        <v>37</v>
      </c>
    </row>
    <row r="93" spans="1:10" x14ac:dyDescent="0.25">
      <c r="A93" t="s">
        <v>123</v>
      </c>
      <c r="B93" s="1">
        <v>43290</v>
      </c>
      <c r="C93" t="s">
        <v>15</v>
      </c>
      <c r="D93" t="s">
        <v>16</v>
      </c>
      <c r="E93">
        <v>18</v>
      </c>
      <c r="F93">
        <v>40</v>
      </c>
      <c r="G93">
        <v>720</v>
      </c>
      <c r="H93">
        <v>0.08</v>
      </c>
      <c r="I93">
        <v>57.6</v>
      </c>
      <c r="J93" t="s">
        <v>39</v>
      </c>
    </row>
    <row r="94" spans="1:10" x14ac:dyDescent="0.25">
      <c r="A94" t="s">
        <v>124</v>
      </c>
      <c r="B94" s="1">
        <v>43290</v>
      </c>
      <c r="C94" t="s">
        <v>15</v>
      </c>
      <c r="D94" t="s">
        <v>31</v>
      </c>
      <c r="E94">
        <v>11</v>
      </c>
      <c r="F94">
        <v>40</v>
      </c>
      <c r="G94">
        <v>440</v>
      </c>
      <c r="H94">
        <v>0.05</v>
      </c>
      <c r="I94">
        <v>22</v>
      </c>
      <c r="J94" t="s">
        <v>41</v>
      </c>
    </row>
    <row r="95" spans="1:10" x14ac:dyDescent="0.25">
      <c r="A95" t="s">
        <v>125</v>
      </c>
      <c r="B95" s="1">
        <v>43291</v>
      </c>
      <c r="C95" t="s">
        <v>15</v>
      </c>
      <c r="D95" t="s">
        <v>31</v>
      </c>
      <c r="E95">
        <v>23</v>
      </c>
      <c r="F95">
        <v>40</v>
      </c>
      <c r="G95">
        <v>920</v>
      </c>
      <c r="H95">
        <v>0.04</v>
      </c>
      <c r="I95">
        <v>36.800000000000004</v>
      </c>
      <c r="J95" t="s">
        <v>43</v>
      </c>
    </row>
    <row r="96" spans="1:10" x14ac:dyDescent="0.25">
      <c r="A96" t="s">
        <v>126</v>
      </c>
      <c r="B96" s="1">
        <v>43291</v>
      </c>
      <c r="C96" t="s">
        <v>30</v>
      </c>
      <c r="D96" t="s">
        <v>31</v>
      </c>
      <c r="E96">
        <v>17</v>
      </c>
      <c r="F96">
        <v>16</v>
      </c>
      <c r="G96">
        <v>272</v>
      </c>
      <c r="H96">
        <v>0.1</v>
      </c>
      <c r="I96">
        <v>27.200000000000003</v>
      </c>
      <c r="J96" t="s">
        <v>13</v>
      </c>
    </row>
    <row r="97" spans="1:10" x14ac:dyDescent="0.25">
      <c r="A97" t="s">
        <v>127</v>
      </c>
      <c r="B97" s="1">
        <v>43291</v>
      </c>
      <c r="C97" t="s">
        <v>30</v>
      </c>
      <c r="D97" t="s">
        <v>16</v>
      </c>
      <c r="E97">
        <v>4</v>
      </c>
      <c r="F97">
        <v>16</v>
      </c>
      <c r="G97">
        <v>64</v>
      </c>
      <c r="H97">
        <v>7.0000000000000007E-2</v>
      </c>
      <c r="I97">
        <v>4.4800000000000004</v>
      </c>
      <c r="J97" t="s">
        <v>17</v>
      </c>
    </row>
    <row r="98" spans="1:10" x14ac:dyDescent="0.25">
      <c r="A98" t="s">
        <v>128</v>
      </c>
      <c r="B98" s="1">
        <v>43291</v>
      </c>
      <c r="C98" t="s">
        <v>11</v>
      </c>
      <c r="D98" t="s">
        <v>24</v>
      </c>
      <c r="E98">
        <v>23</v>
      </c>
      <c r="F98">
        <v>80</v>
      </c>
      <c r="G98">
        <v>1840</v>
      </c>
      <c r="H98">
        <v>0.05</v>
      </c>
      <c r="I98">
        <v>92</v>
      </c>
      <c r="J98" t="s">
        <v>20</v>
      </c>
    </row>
    <row r="99" spans="1:10" x14ac:dyDescent="0.25">
      <c r="A99" t="s">
        <v>129</v>
      </c>
      <c r="B99" s="1">
        <v>43291</v>
      </c>
      <c r="C99" t="s">
        <v>19</v>
      </c>
      <c r="D99" t="s">
        <v>24</v>
      </c>
      <c r="E99">
        <v>10</v>
      </c>
      <c r="F99">
        <v>230</v>
      </c>
      <c r="G99">
        <v>2300</v>
      </c>
      <c r="H99">
        <v>0.02</v>
      </c>
      <c r="I99">
        <v>46</v>
      </c>
      <c r="J99" t="s">
        <v>22</v>
      </c>
    </row>
    <row r="100" spans="1:10" x14ac:dyDescent="0.25">
      <c r="A100" t="s">
        <v>130</v>
      </c>
      <c r="B100" s="1">
        <v>43291</v>
      </c>
      <c r="C100" t="s">
        <v>30</v>
      </c>
      <c r="D100" t="s">
        <v>24</v>
      </c>
      <c r="E100">
        <v>14</v>
      </c>
      <c r="F100">
        <v>16</v>
      </c>
      <c r="G100">
        <v>224</v>
      </c>
      <c r="H100">
        <v>0.01</v>
      </c>
      <c r="I100">
        <v>2.2400000000000002</v>
      </c>
      <c r="J100" t="s">
        <v>25</v>
      </c>
    </row>
    <row r="101" spans="1:10" x14ac:dyDescent="0.25">
      <c r="A101" t="s">
        <v>131</v>
      </c>
      <c r="B101" s="1">
        <v>43291</v>
      </c>
      <c r="C101" t="s">
        <v>15</v>
      </c>
      <c r="D101" t="s">
        <v>16</v>
      </c>
      <c r="E101">
        <v>19</v>
      </c>
      <c r="F101">
        <v>40</v>
      </c>
      <c r="G101">
        <v>760</v>
      </c>
      <c r="H101">
        <v>0.1</v>
      </c>
      <c r="I101">
        <v>76</v>
      </c>
      <c r="J101" t="s">
        <v>28</v>
      </c>
    </row>
    <row r="102" spans="1:10" x14ac:dyDescent="0.25">
      <c r="A102" t="s">
        <v>132</v>
      </c>
      <c r="B102" s="1">
        <v>43291</v>
      </c>
      <c r="C102" t="s">
        <v>11</v>
      </c>
      <c r="D102" t="s">
        <v>31</v>
      </c>
      <c r="E102">
        <v>22</v>
      </c>
      <c r="F102">
        <v>80</v>
      </c>
      <c r="G102">
        <v>1760</v>
      </c>
      <c r="H102">
        <v>0.09</v>
      </c>
      <c r="I102">
        <v>158.4</v>
      </c>
      <c r="J102" t="s">
        <v>32</v>
      </c>
    </row>
    <row r="103" spans="1:10" x14ac:dyDescent="0.25">
      <c r="A103" t="s">
        <v>133</v>
      </c>
      <c r="B103" s="1">
        <v>43291</v>
      </c>
      <c r="C103" t="s">
        <v>30</v>
      </c>
      <c r="D103" t="s">
        <v>12</v>
      </c>
      <c r="E103">
        <v>18</v>
      </c>
      <c r="F103">
        <v>16</v>
      </c>
      <c r="G103">
        <v>288</v>
      </c>
      <c r="H103">
        <v>0.05</v>
      </c>
      <c r="I103">
        <v>14.4</v>
      </c>
      <c r="J103" t="s">
        <v>35</v>
      </c>
    </row>
    <row r="104" spans="1:10" x14ac:dyDescent="0.25">
      <c r="A104" t="s">
        <v>134</v>
      </c>
      <c r="B104" s="1">
        <v>43291</v>
      </c>
      <c r="C104" t="s">
        <v>15</v>
      </c>
      <c r="D104" t="s">
        <v>12</v>
      </c>
      <c r="E104">
        <v>18</v>
      </c>
      <c r="F104">
        <v>40</v>
      </c>
      <c r="G104">
        <v>720</v>
      </c>
      <c r="H104">
        <v>0.11</v>
      </c>
      <c r="I104">
        <v>79.2</v>
      </c>
      <c r="J104" t="s">
        <v>37</v>
      </c>
    </row>
    <row r="105" spans="1:10" x14ac:dyDescent="0.25">
      <c r="A105" t="s">
        <v>135</v>
      </c>
      <c r="B105" s="1">
        <v>43291</v>
      </c>
      <c r="C105" t="s">
        <v>15</v>
      </c>
      <c r="D105" t="s">
        <v>31</v>
      </c>
      <c r="E105">
        <v>21</v>
      </c>
      <c r="F105">
        <v>40</v>
      </c>
      <c r="G105">
        <v>840</v>
      </c>
      <c r="H105">
        <v>0.01</v>
      </c>
      <c r="I105">
        <v>8.4</v>
      </c>
      <c r="J105" t="s">
        <v>39</v>
      </c>
    </row>
    <row r="106" spans="1:10" x14ac:dyDescent="0.25">
      <c r="A106" t="s">
        <v>136</v>
      </c>
      <c r="B106" s="1">
        <v>43291</v>
      </c>
      <c r="C106" t="s">
        <v>11</v>
      </c>
      <c r="D106" t="s">
        <v>12</v>
      </c>
      <c r="E106">
        <v>6</v>
      </c>
      <c r="F106">
        <v>80</v>
      </c>
      <c r="G106">
        <v>480</v>
      </c>
      <c r="H106">
        <v>7.0000000000000007E-2</v>
      </c>
      <c r="I106">
        <v>33.6</v>
      </c>
      <c r="J106" t="s">
        <v>41</v>
      </c>
    </row>
    <row r="107" spans="1:10" x14ac:dyDescent="0.25">
      <c r="A107" t="s">
        <v>137</v>
      </c>
      <c r="B107" s="1">
        <v>43291</v>
      </c>
      <c r="C107" t="s">
        <v>34</v>
      </c>
      <c r="D107" t="s">
        <v>31</v>
      </c>
      <c r="E107">
        <v>17</v>
      </c>
      <c r="F107">
        <v>150</v>
      </c>
      <c r="G107">
        <v>2550</v>
      </c>
      <c r="H107">
        <v>0.02</v>
      </c>
      <c r="I107">
        <v>51</v>
      </c>
      <c r="J107" t="s">
        <v>43</v>
      </c>
    </row>
    <row r="108" spans="1:10" x14ac:dyDescent="0.25">
      <c r="A108" t="s">
        <v>138</v>
      </c>
      <c r="B108" s="1">
        <v>43291</v>
      </c>
      <c r="C108" t="s">
        <v>11</v>
      </c>
      <c r="D108" t="s">
        <v>24</v>
      </c>
      <c r="E108">
        <v>16</v>
      </c>
      <c r="F108">
        <v>80</v>
      </c>
      <c r="G108">
        <v>1280</v>
      </c>
      <c r="H108">
        <v>0.02</v>
      </c>
      <c r="I108">
        <v>25.6</v>
      </c>
      <c r="J108" t="s">
        <v>13</v>
      </c>
    </row>
    <row r="109" spans="1:10" x14ac:dyDescent="0.25">
      <c r="A109" t="s">
        <v>139</v>
      </c>
      <c r="B109" s="1">
        <v>43291</v>
      </c>
      <c r="C109" t="s">
        <v>15</v>
      </c>
      <c r="D109" t="s">
        <v>16</v>
      </c>
      <c r="E109">
        <v>15</v>
      </c>
      <c r="F109">
        <v>40</v>
      </c>
      <c r="G109">
        <v>600</v>
      </c>
      <c r="H109">
        <v>0.04</v>
      </c>
      <c r="I109">
        <v>24</v>
      </c>
      <c r="J109" t="s">
        <v>17</v>
      </c>
    </row>
    <row r="110" spans="1:10" x14ac:dyDescent="0.25">
      <c r="A110" t="s">
        <v>140</v>
      </c>
      <c r="B110" s="1">
        <v>43291</v>
      </c>
      <c r="C110" t="s">
        <v>19</v>
      </c>
      <c r="D110" t="s">
        <v>27</v>
      </c>
      <c r="E110">
        <v>2</v>
      </c>
      <c r="F110">
        <v>230</v>
      </c>
      <c r="G110">
        <v>460</v>
      </c>
      <c r="H110">
        <v>0.08</v>
      </c>
      <c r="I110">
        <v>36.800000000000004</v>
      </c>
      <c r="J110" t="s">
        <v>20</v>
      </c>
    </row>
    <row r="111" spans="1:10" x14ac:dyDescent="0.25">
      <c r="A111" t="s">
        <v>141</v>
      </c>
      <c r="B111" s="1">
        <v>43291</v>
      </c>
      <c r="C111" t="s">
        <v>15</v>
      </c>
      <c r="D111" t="s">
        <v>31</v>
      </c>
      <c r="E111">
        <v>3</v>
      </c>
      <c r="F111">
        <v>40</v>
      </c>
      <c r="G111">
        <v>120</v>
      </c>
      <c r="H111">
        <v>0.03</v>
      </c>
      <c r="I111">
        <v>3.5999999999999996</v>
      </c>
      <c r="J111" t="s">
        <v>22</v>
      </c>
    </row>
    <row r="112" spans="1:10" x14ac:dyDescent="0.25">
      <c r="A112" t="s">
        <v>142</v>
      </c>
      <c r="B112" s="1">
        <v>43291</v>
      </c>
      <c r="C112" t="s">
        <v>19</v>
      </c>
      <c r="D112" t="s">
        <v>31</v>
      </c>
      <c r="E112">
        <v>21</v>
      </c>
      <c r="F112">
        <v>230</v>
      </c>
      <c r="G112">
        <v>4830</v>
      </c>
      <c r="H112">
        <v>0.05</v>
      </c>
      <c r="I112">
        <v>241.5</v>
      </c>
      <c r="J112" t="s">
        <v>25</v>
      </c>
    </row>
    <row r="113" spans="1:10" x14ac:dyDescent="0.25">
      <c r="A113" t="s">
        <v>143</v>
      </c>
      <c r="B113" s="1">
        <v>43291</v>
      </c>
      <c r="C113" t="s">
        <v>34</v>
      </c>
      <c r="D113" t="s">
        <v>12</v>
      </c>
      <c r="E113">
        <v>11</v>
      </c>
      <c r="F113">
        <v>150</v>
      </c>
      <c r="G113">
        <v>1650</v>
      </c>
      <c r="H113">
        <v>0.05</v>
      </c>
      <c r="I113">
        <v>82.5</v>
      </c>
      <c r="J113" t="s">
        <v>28</v>
      </c>
    </row>
    <row r="114" spans="1:10" x14ac:dyDescent="0.25">
      <c r="A114" t="s">
        <v>144</v>
      </c>
      <c r="B114" s="1">
        <v>43292</v>
      </c>
      <c r="C114" t="s">
        <v>34</v>
      </c>
      <c r="D114" t="s">
        <v>16</v>
      </c>
      <c r="E114">
        <v>15</v>
      </c>
      <c r="F114">
        <v>150</v>
      </c>
      <c r="G114">
        <v>2250</v>
      </c>
      <c r="H114">
        <v>0.02</v>
      </c>
      <c r="I114">
        <v>45</v>
      </c>
      <c r="J114" t="s">
        <v>32</v>
      </c>
    </row>
    <row r="115" spans="1:10" x14ac:dyDescent="0.25">
      <c r="A115" t="s">
        <v>145</v>
      </c>
      <c r="B115" s="1">
        <v>43292</v>
      </c>
      <c r="C115" t="s">
        <v>11</v>
      </c>
      <c r="D115" t="s">
        <v>27</v>
      </c>
      <c r="E115">
        <v>16</v>
      </c>
      <c r="F115">
        <v>80</v>
      </c>
      <c r="G115">
        <v>1280</v>
      </c>
      <c r="H115">
        <v>0.1</v>
      </c>
      <c r="I115">
        <v>128</v>
      </c>
      <c r="J115" t="s">
        <v>35</v>
      </c>
    </row>
    <row r="116" spans="1:10" x14ac:dyDescent="0.25">
      <c r="A116" t="s">
        <v>146</v>
      </c>
      <c r="B116" s="1">
        <v>43292</v>
      </c>
      <c r="C116" t="s">
        <v>19</v>
      </c>
      <c r="D116" t="s">
        <v>31</v>
      </c>
      <c r="E116">
        <v>17</v>
      </c>
      <c r="F116">
        <v>230</v>
      </c>
      <c r="G116">
        <v>3910</v>
      </c>
      <c r="H116">
        <v>0.11</v>
      </c>
      <c r="I116">
        <v>430.1</v>
      </c>
      <c r="J116" t="s">
        <v>37</v>
      </c>
    </row>
    <row r="117" spans="1:10" x14ac:dyDescent="0.25">
      <c r="A117" t="s">
        <v>147</v>
      </c>
      <c r="B117" s="1">
        <v>43292</v>
      </c>
      <c r="C117" t="s">
        <v>15</v>
      </c>
      <c r="D117" t="s">
        <v>31</v>
      </c>
      <c r="E117">
        <v>16</v>
      </c>
      <c r="F117">
        <v>40</v>
      </c>
      <c r="G117">
        <v>640</v>
      </c>
      <c r="H117">
        <v>0.11</v>
      </c>
      <c r="I117">
        <v>70.400000000000006</v>
      </c>
      <c r="J117" t="s">
        <v>39</v>
      </c>
    </row>
    <row r="118" spans="1:10" x14ac:dyDescent="0.25">
      <c r="A118" t="s">
        <v>148</v>
      </c>
      <c r="B118" s="1">
        <v>43292</v>
      </c>
      <c r="C118" t="s">
        <v>11</v>
      </c>
      <c r="D118" t="s">
        <v>27</v>
      </c>
      <c r="E118">
        <v>2</v>
      </c>
      <c r="F118">
        <v>80</v>
      </c>
      <c r="G118">
        <v>160</v>
      </c>
      <c r="H118">
        <v>0.08</v>
      </c>
      <c r="I118">
        <v>12.8</v>
      </c>
      <c r="J118" t="s">
        <v>41</v>
      </c>
    </row>
    <row r="119" spans="1:10" x14ac:dyDescent="0.25">
      <c r="A119" t="s">
        <v>149</v>
      </c>
      <c r="B119" s="1">
        <v>43292</v>
      </c>
      <c r="C119" t="s">
        <v>34</v>
      </c>
      <c r="D119" t="s">
        <v>16</v>
      </c>
      <c r="E119">
        <v>22</v>
      </c>
      <c r="F119">
        <v>150</v>
      </c>
      <c r="G119">
        <v>3300</v>
      </c>
      <c r="H119">
        <v>0.02</v>
      </c>
      <c r="I119">
        <v>66</v>
      </c>
      <c r="J119" t="s">
        <v>43</v>
      </c>
    </row>
    <row r="120" spans="1:10" x14ac:dyDescent="0.25">
      <c r="A120" t="s">
        <v>150</v>
      </c>
      <c r="B120" s="1">
        <v>43292</v>
      </c>
      <c r="C120" t="s">
        <v>11</v>
      </c>
      <c r="D120" t="s">
        <v>12</v>
      </c>
      <c r="E120">
        <v>16</v>
      </c>
      <c r="F120">
        <v>80</v>
      </c>
      <c r="G120">
        <v>1280</v>
      </c>
      <c r="H120">
        <v>0.03</v>
      </c>
      <c r="I120">
        <v>38.4</v>
      </c>
      <c r="J120" t="s">
        <v>13</v>
      </c>
    </row>
    <row r="121" spans="1:10" x14ac:dyDescent="0.25">
      <c r="A121" t="s">
        <v>151</v>
      </c>
      <c r="B121" s="1">
        <v>43293</v>
      </c>
      <c r="C121" t="s">
        <v>30</v>
      </c>
      <c r="D121" t="s">
        <v>12</v>
      </c>
      <c r="E121">
        <v>20</v>
      </c>
      <c r="F121">
        <v>16</v>
      </c>
      <c r="G121">
        <v>320</v>
      </c>
      <c r="H121">
        <v>0.11</v>
      </c>
      <c r="I121">
        <v>35.200000000000003</v>
      </c>
      <c r="J121" t="s">
        <v>17</v>
      </c>
    </row>
    <row r="122" spans="1:10" x14ac:dyDescent="0.25">
      <c r="A122" t="s">
        <v>152</v>
      </c>
      <c r="B122" s="1">
        <v>43293</v>
      </c>
      <c r="C122" t="s">
        <v>11</v>
      </c>
      <c r="D122" t="s">
        <v>31</v>
      </c>
      <c r="E122">
        <v>9</v>
      </c>
      <c r="F122">
        <v>80</v>
      </c>
      <c r="G122">
        <v>720</v>
      </c>
      <c r="H122">
        <v>7.0000000000000007E-2</v>
      </c>
      <c r="I122">
        <v>50.400000000000006</v>
      </c>
      <c r="J122" t="s">
        <v>20</v>
      </c>
    </row>
    <row r="123" spans="1:10" x14ac:dyDescent="0.25">
      <c r="A123" t="s">
        <v>153</v>
      </c>
      <c r="B123" s="1">
        <v>43293</v>
      </c>
      <c r="C123" t="s">
        <v>19</v>
      </c>
      <c r="D123" t="s">
        <v>31</v>
      </c>
      <c r="E123">
        <v>5</v>
      </c>
      <c r="F123">
        <v>230</v>
      </c>
      <c r="G123">
        <v>1150</v>
      </c>
      <c r="H123">
        <v>0.12</v>
      </c>
      <c r="I123">
        <v>138</v>
      </c>
      <c r="J123" t="s">
        <v>22</v>
      </c>
    </row>
    <row r="124" spans="1:10" x14ac:dyDescent="0.25">
      <c r="A124" t="s">
        <v>154</v>
      </c>
      <c r="B124" s="1">
        <v>43293</v>
      </c>
      <c r="C124" t="s">
        <v>30</v>
      </c>
      <c r="D124" t="s">
        <v>12</v>
      </c>
      <c r="E124">
        <v>20</v>
      </c>
      <c r="F124">
        <v>16</v>
      </c>
      <c r="G124">
        <v>320</v>
      </c>
      <c r="H124">
        <v>0.01</v>
      </c>
      <c r="I124">
        <v>3.2</v>
      </c>
      <c r="J124" t="s">
        <v>25</v>
      </c>
    </row>
    <row r="125" spans="1:10" x14ac:dyDescent="0.25">
      <c r="A125" t="s">
        <v>155</v>
      </c>
      <c r="B125" s="1">
        <v>43293</v>
      </c>
      <c r="C125" t="s">
        <v>30</v>
      </c>
      <c r="D125" t="s">
        <v>12</v>
      </c>
      <c r="E125">
        <v>16</v>
      </c>
      <c r="F125">
        <v>16</v>
      </c>
      <c r="G125">
        <v>256</v>
      </c>
      <c r="H125">
        <v>0.03</v>
      </c>
      <c r="I125">
        <v>7.68</v>
      </c>
      <c r="J125" t="s">
        <v>28</v>
      </c>
    </row>
    <row r="126" spans="1:10" x14ac:dyDescent="0.25">
      <c r="A126" t="s">
        <v>156</v>
      </c>
      <c r="B126" s="1">
        <v>43293</v>
      </c>
      <c r="C126" t="s">
        <v>34</v>
      </c>
      <c r="D126" t="s">
        <v>27</v>
      </c>
      <c r="E126">
        <v>15</v>
      </c>
      <c r="F126">
        <v>150</v>
      </c>
      <c r="G126">
        <v>2250</v>
      </c>
      <c r="H126">
        <v>0.05</v>
      </c>
      <c r="I126">
        <v>112.5</v>
      </c>
      <c r="J126" t="s">
        <v>32</v>
      </c>
    </row>
    <row r="127" spans="1:10" x14ac:dyDescent="0.25">
      <c r="A127" t="s">
        <v>157</v>
      </c>
      <c r="B127" s="1">
        <v>43293</v>
      </c>
      <c r="C127" t="s">
        <v>19</v>
      </c>
      <c r="D127" t="s">
        <v>16</v>
      </c>
      <c r="E127">
        <v>19</v>
      </c>
      <c r="F127">
        <v>230</v>
      </c>
      <c r="G127">
        <v>4370</v>
      </c>
      <c r="H127">
        <v>0.11</v>
      </c>
      <c r="I127">
        <v>480.7</v>
      </c>
      <c r="J127" t="s">
        <v>35</v>
      </c>
    </row>
    <row r="128" spans="1:10" x14ac:dyDescent="0.25">
      <c r="A128" t="s">
        <v>158</v>
      </c>
      <c r="B128" s="1">
        <v>43294</v>
      </c>
      <c r="C128" t="s">
        <v>34</v>
      </c>
      <c r="D128" t="s">
        <v>24</v>
      </c>
      <c r="E128">
        <v>2</v>
      </c>
      <c r="F128">
        <v>150</v>
      </c>
      <c r="G128">
        <v>300</v>
      </c>
      <c r="H128">
        <v>0.02</v>
      </c>
      <c r="I128">
        <v>6</v>
      </c>
      <c r="J128" t="s">
        <v>37</v>
      </c>
    </row>
    <row r="129" spans="1:10" x14ac:dyDescent="0.25">
      <c r="A129" t="s">
        <v>159</v>
      </c>
      <c r="B129" s="1">
        <v>43294</v>
      </c>
      <c r="C129" t="s">
        <v>11</v>
      </c>
      <c r="D129" t="s">
        <v>31</v>
      </c>
      <c r="E129">
        <v>16</v>
      </c>
      <c r="F129">
        <v>80</v>
      </c>
      <c r="G129">
        <v>1280</v>
      </c>
      <c r="H129">
        <v>0.05</v>
      </c>
      <c r="I129">
        <v>64</v>
      </c>
      <c r="J129" t="s">
        <v>39</v>
      </c>
    </row>
    <row r="130" spans="1:10" x14ac:dyDescent="0.25">
      <c r="A130" t="s">
        <v>160</v>
      </c>
      <c r="B130" s="1">
        <v>43294</v>
      </c>
      <c r="C130" t="s">
        <v>15</v>
      </c>
      <c r="D130" t="s">
        <v>24</v>
      </c>
      <c r="E130">
        <v>2</v>
      </c>
      <c r="F130">
        <v>40</v>
      </c>
      <c r="G130">
        <v>80</v>
      </c>
      <c r="H130">
        <v>0.03</v>
      </c>
      <c r="I130">
        <v>2.4</v>
      </c>
      <c r="J130" t="s">
        <v>41</v>
      </c>
    </row>
    <row r="131" spans="1:10" x14ac:dyDescent="0.25">
      <c r="A131" t="s">
        <v>161</v>
      </c>
      <c r="B131" s="1">
        <v>43294</v>
      </c>
      <c r="C131" t="s">
        <v>11</v>
      </c>
      <c r="D131" t="s">
        <v>16</v>
      </c>
      <c r="E131">
        <v>5</v>
      </c>
      <c r="F131">
        <v>80</v>
      </c>
      <c r="G131">
        <v>400</v>
      </c>
      <c r="H131">
        <v>0.04</v>
      </c>
      <c r="I131">
        <v>16</v>
      </c>
      <c r="J131" t="s">
        <v>43</v>
      </c>
    </row>
    <row r="132" spans="1:10" x14ac:dyDescent="0.25">
      <c r="A132" t="s">
        <v>162</v>
      </c>
      <c r="B132" s="1">
        <v>43294</v>
      </c>
      <c r="C132" t="s">
        <v>19</v>
      </c>
      <c r="D132" t="s">
        <v>27</v>
      </c>
      <c r="E132">
        <v>17</v>
      </c>
      <c r="F132">
        <v>230</v>
      </c>
      <c r="G132">
        <v>3910</v>
      </c>
      <c r="H132">
        <v>0.12</v>
      </c>
      <c r="I132">
        <v>469.2</v>
      </c>
      <c r="J132" t="s">
        <v>13</v>
      </c>
    </row>
    <row r="133" spans="1:10" x14ac:dyDescent="0.25">
      <c r="A133" t="s">
        <v>163</v>
      </c>
      <c r="B133" s="1">
        <v>43294</v>
      </c>
      <c r="C133" t="s">
        <v>11</v>
      </c>
      <c r="D133" t="s">
        <v>12</v>
      </c>
      <c r="E133">
        <v>8</v>
      </c>
      <c r="F133">
        <v>80</v>
      </c>
      <c r="G133">
        <v>640</v>
      </c>
      <c r="H133">
        <v>0.08</v>
      </c>
      <c r="I133">
        <v>51.2</v>
      </c>
      <c r="J133" t="s">
        <v>17</v>
      </c>
    </row>
    <row r="134" spans="1:10" x14ac:dyDescent="0.25">
      <c r="A134" t="s">
        <v>164</v>
      </c>
      <c r="B134" s="1">
        <v>43294</v>
      </c>
      <c r="C134" t="s">
        <v>15</v>
      </c>
      <c r="D134" t="s">
        <v>16</v>
      </c>
      <c r="E134">
        <v>4</v>
      </c>
      <c r="F134">
        <v>40</v>
      </c>
      <c r="G134">
        <v>160</v>
      </c>
      <c r="H134">
        <v>0.06</v>
      </c>
      <c r="I134">
        <v>9.6</v>
      </c>
      <c r="J134" t="s">
        <v>20</v>
      </c>
    </row>
    <row r="135" spans="1:10" x14ac:dyDescent="0.25">
      <c r="A135" t="s">
        <v>165</v>
      </c>
      <c r="B135" s="1">
        <v>43294</v>
      </c>
      <c r="C135" t="s">
        <v>30</v>
      </c>
      <c r="D135" t="s">
        <v>24</v>
      </c>
      <c r="E135">
        <v>17</v>
      </c>
      <c r="F135">
        <v>16</v>
      </c>
      <c r="G135">
        <v>272</v>
      </c>
      <c r="H135">
        <v>0.05</v>
      </c>
      <c r="I135">
        <v>13.600000000000001</v>
      </c>
      <c r="J135" t="s">
        <v>22</v>
      </c>
    </row>
    <row r="136" spans="1:10" x14ac:dyDescent="0.25">
      <c r="A136" t="s">
        <v>166</v>
      </c>
      <c r="B136" s="1">
        <v>43294</v>
      </c>
      <c r="C136" t="s">
        <v>19</v>
      </c>
      <c r="D136" t="s">
        <v>27</v>
      </c>
      <c r="E136">
        <v>8</v>
      </c>
      <c r="F136">
        <v>230</v>
      </c>
      <c r="G136">
        <v>1840</v>
      </c>
      <c r="H136">
        <v>0.01</v>
      </c>
      <c r="I136">
        <v>18.400000000000002</v>
      </c>
      <c r="J136" t="s">
        <v>25</v>
      </c>
    </row>
    <row r="137" spans="1:10" x14ac:dyDescent="0.25">
      <c r="A137" t="s">
        <v>167</v>
      </c>
      <c r="B137" s="1">
        <v>43294</v>
      </c>
      <c r="C137" t="s">
        <v>30</v>
      </c>
      <c r="D137" t="s">
        <v>31</v>
      </c>
      <c r="E137">
        <v>19</v>
      </c>
      <c r="F137">
        <v>16</v>
      </c>
      <c r="G137">
        <v>304</v>
      </c>
      <c r="H137">
        <v>0.02</v>
      </c>
      <c r="I137">
        <v>6.08</v>
      </c>
      <c r="J137" t="s">
        <v>28</v>
      </c>
    </row>
    <row r="138" spans="1:10" x14ac:dyDescent="0.25">
      <c r="A138" t="s">
        <v>168</v>
      </c>
      <c r="B138" s="1">
        <v>43295</v>
      </c>
      <c r="C138" t="s">
        <v>15</v>
      </c>
      <c r="D138" t="s">
        <v>12</v>
      </c>
      <c r="E138">
        <v>18</v>
      </c>
      <c r="F138">
        <v>40</v>
      </c>
      <c r="G138">
        <v>720</v>
      </c>
      <c r="H138">
        <v>0.06</v>
      </c>
      <c r="I138">
        <v>43.199999999999996</v>
      </c>
      <c r="J138" t="s">
        <v>32</v>
      </c>
    </row>
    <row r="139" spans="1:10" x14ac:dyDescent="0.25">
      <c r="A139" t="s">
        <v>169</v>
      </c>
      <c r="B139" s="1">
        <v>43295</v>
      </c>
      <c r="C139" t="s">
        <v>34</v>
      </c>
      <c r="D139" t="s">
        <v>31</v>
      </c>
      <c r="E139">
        <v>23</v>
      </c>
      <c r="F139">
        <v>150</v>
      </c>
      <c r="G139">
        <v>3450</v>
      </c>
      <c r="H139">
        <v>0.08</v>
      </c>
      <c r="I139">
        <v>276</v>
      </c>
      <c r="J139" t="s">
        <v>35</v>
      </c>
    </row>
    <row r="140" spans="1:10" x14ac:dyDescent="0.25">
      <c r="A140" t="s">
        <v>170</v>
      </c>
      <c r="B140" s="1">
        <v>43295</v>
      </c>
      <c r="C140" t="s">
        <v>19</v>
      </c>
      <c r="D140" t="s">
        <v>12</v>
      </c>
      <c r="E140">
        <v>5</v>
      </c>
      <c r="F140">
        <v>230</v>
      </c>
      <c r="G140">
        <v>1150</v>
      </c>
      <c r="H140">
        <v>0.1</v>
      </c>
      <c r="I140">
        <v>115</v>
      </c>
      <c r="J140" t="s">
        <v>37</v>
      </c>
    </row>
    <row r="141" spans="1:10" x14ac:dyDescent="0.25">
      <c r="A141" t="s">
        <v>171</v>
      </c>
      <c r="B141" s="1">
        <v>43295</v>
      </c>
      <c r="C141" t="s">
        <v>11</v>
      </c>
      <c r="D141" t="s">
        <v>27</v>
      </c>
      <c r="E141">
        <v>21</v>
      </c>
      <c r="F141">
        <v>80</v>
      </c>
      <c r="G141">
        <v>1680</v>
      </c>
      <c r="H141">
        <v>0.02</v>
      </c>
      <c r="I141">
        <v>33.6</v>
      </c>
      <c r="J141" t="s">
        <v>39</v>
      </c>
    </row>
    <row r="142" spans="1:10" x14ac:dyDescent="0.25">
      <c r="A142" t="s">
        <v>172</v>
      </c>
      <c r="B142" s="1">
        <v>43295</v>
      </c>
      <c r="C142" t="s">
        <v>30</v>
      </c>
      <c r="D142" t="s">
        <v>24</v>
      </c>
      <c r="E142">
        <v>6</v>
      </c>
      <c r="F142">
        <v>16</v>
      </c>
      <c r="G142">
        <v>96</v>
      </c>
      <c r="H142">
        <v>7.0000000000000007E-2</v>
      </c>
      <c r="I142">
        <v>6.7200000000000006</v>
      </c>
      <c r="J142" t="s">
        <v>13</v>
      </c>
    </row>
    <row r="143" spans="1:10" x14ac:dyDescent="0.25">
      <c r="A143" t="s">
        <v>173</v>
      </c>
      <c r="B143" s="1">
        <v>43295</v>
      </c>
      <c r="C143" t="s">
        <v>15</v>
      </c>
      <c r="D143" t="s">
        <v>12</v>
      </c>
      <c r="E143">
        <v>9</v>
      </c>
      <c r="F143">
        <v>40</v>
      </c>
      <c r="G143">
        <v>360</v>
      </c>
      <c r="H143">
        <v>0.01</v>
      </c>
      <c r="I143">
        <v>3.6</v>
      </c>
      <c r="J143" t="s">
        <v>17</v>
      </c>
    </row>
    <row r="144" spans="1:10" x14ac:dyDescent="0.25">
      <c r="A144" t="s">
        <v>174</v>
      </c>
      <c r="B144" s="1">
        <v>43295</v>
      </c>
      <c r="C144" t="s">
        <v>19</v>
      </c>
      <c r="D144" t="s">
        <v>16</v>
      </c>
      <c r="E144">
        <v>9</v>
      </c>
      <c r="F144">
        <v>230</v>
      </c>
      <c r="G144">
        <v>2070</v>
      </c>
      <c r="H144">
        <v>0.03</v>
      </c>
      <c r="I144">
        <v>62.099999999999994</v>
      </c>
      <c r="J144" t="s">
        <v>20</v>
      </c>
    </row>
    <row r="145" spans="1:10" x14ac:dyDescent="0.25">
      <c r="A145" t="s">
        <v>175</v>
      </c>
      <c r="B145" s="1">
        <v>43295</v>
      </c>
      <c r="C145" t="s">
        <v>19</v>
      </c>
      <c r="D145" t="s">
        <v>24</v>
      </c>
      <c r="E145">
        <v>5</v>
      </c>
      <c r="F145">
        <v>230</v>
      </c>
      <c r="G145">
        <v>1150</v>
      </c>
      <c r="H145">
        <v>0.1</v>
      </c>
      <c r="I145">
        <v>115</v>
      </c>
      <c r="J145" t="s">
        <v>22</v>
      </c>
    </row>
    <row r="146" spans="1:10" x14ac:dyDescent="0.25">
      <c r="A146" t="s">
        <v>176</v>
      </c>
      <c r="B146" s="1">
        <v>43295</v>
      </c>
      <c r="C146" t="s">
        <v>15</v>
      </c>
      <c r="D146" t="s">
        <v>27</v>
      </c>
      <c r="E146">
        <v>7</v>
      </c>
      <c r="F146">
        <v>40</v>
      </c>
      <c r="G146">
        <v>280</v>
      </c>
      <c r="H146">
        <v>0.11</v>
      </c>
      <c r="I146">
        <v>30.8</v>
      </c>
      <c r="J146" t="s">
        <v>25</v>
      </c>
    </row>
    <row r="147" spans="1:10" x14ac:dyDescent="0.25">
      <c r="A147" t="s">
        <v>177</v>
      </c>
      <c r="B147" s="1">
        <v>43295</v>
      </c>
      <c r="C147" t="s">
        <v>19</v>
      </c>
      <c r="D147" t="s">
        <v>12</v>
      </c>
      <c r="E147">
        <v>20</v>
      </c>
      <c r="F147">
        <v>230</v>
      </c>
      <c r="G147">
        <v>4600</v>
      </c>
      <c r="H147">
        <v>0.04</v>
      </c>
      <c r="I147">
        <v>184</v>
      </c>
      <c r="J147" t="s">
        <v>28</v>
      </c>
    </row>
    <row r="148" spans="1:10" x14ac:dyDescent="0.25">
      <c r="A148" t="s">
        <v>178</v>
      </c>
      <c r="B148" s="1">
        <v>43295</v>
      </c>
      <c r="C148" t="s">
        <v>34</v>
      </c>
      <c r="D148" t="s">
        <v>12</v>
      </c>
      <c r="E148">
        <v>22</v>
      </c>
      <c r="F148">
        <v>150</v>
      </c>
      <c r="G148">
        <v>3300</v>
      </c>
      <c r="H148">
        <v>7.0000000000000007E-2</v>
      </c>
      <c r="I148">
        <v>231.00000000000003</v>
      </c>
      <c r="J148" t="s">
        <v>32</v>
      </c>
    </row>
    <row r="149" spans="1:10" x14ac:dyDescent="0.25">
      <c r="A149" t="s">
        <v>179</v>
      </c>
      <c r="B149" s="1">
        <v>43296</v>
      </c>
      <c r="C149" t="s">
        <v>19</v>
      </c>
      <c r="D149" t="s">
        <v>24</v>
      </c>
      <c r="E149">
        <v>6</v>
      </c>
      <c r="F149">
        <v>230</v>
      </c>
      <c r="G149">
        <v>1380</v>
      </c>
      <c r="H149">
        <v>0.05</v>
      </c>
      <c r="I149">
        <v>69</v>
      </c>
      <c r="J149" t="s">
        <v>35</v>
      </c>
    </row>
    <row r="150" spans="1:10" x14ac:dyDescent="0.25">
      <c r="A150" t="s">
        <v>180</v>
      </c>
      <c r="B150" s="1">
        <v>43296</v>
      </c>
      <c r="C150" t="s">
        <v>19</v>
      </c>
      <c r="D150" t="s">
        <v>24</v>
      </c>
      <c r="E150">
        <v>15</v>
      </c>
      <c r="F150">
        <v>230</v>
      </c>
      <c r="G150">
        <v>3450</v>
      </c>
      <c r="H150">
        <v>0.11</v>
      </c>
      <c r="I150">
        <v>379.5</v>
      </c>
      <c r="J150" t="s">
        <v>37</v>
      </c>
    </row>
    <row r="151" spans="1:10" x14ac:dyDescent="0.25">
      <c r="A151" t="s">
        <v>181</v>
      </c>
      <c r="B151" s="1">
        <v>43296</v>
      </c>
      <c r="C151" t="s">
        <v>15</v>
      </c>
      <c r="D151" t="s">
        <v>16</v>
      </c>
      <c r="E151">
        <v>8</v>
      </c>
      <c r="F151">
        <v>40</v>
      </c>
      <c r="G151">
        <v>320</v>
      </c>
      <c r="H151">
        <v>0.09</v>
      </c>
      <c r="I151">
        <v>28.799999999999997</v>
      </c>
      <c r="J151" t="s">
        <v>39</v>
      </c>
    </row>
    <row r="152" spans="1:10" x14ac:dyDescent="0.25">
      <c r="A152" t="s">
        <v>182</v>
      </c>
      <c r="B152" s="1">
        <v>43296</v>
      </c>
      <c r="C152" t="s">
        <v>15</v>
      </c>
      <c r="D152" t="s">
        <v>12</v>
      </c>
      <c r="E152">
        <v>5</v>
      </c>
      <c r="F152">
        <v>40</v>
      </c>
      <c r="G152">
        <v>200</v>
      </c>
      <c r="H152">
        <v>0.06</v>
      </c>
      <c r="I152">
        <v>12</v>
      </c>
      <c r="J152" t="s">
        <v>41</v>
      </c>
    </row>
    <row r="153" spans="1:10" x14ac:dyDescent="0.25">
      <c r="A153" t="s">
        <v>183</v>
      </c>
      <c r="B153" s="1">
        <v>43296</v>
      </c>
      <c r="C153" t="s">
        <v>11</v>
      </c>
      <c r="D153" t="s">
        <v>31</v>
      </c>
      <c r="E153">
        <v>6</v>
      </c>
      <c r="F153">
        <v>80</v>
      </c>
      <c r="G153">
        <v>480</v>
      </c>
      <c r="H153">
        <v>0.09</v>
      </c>
      <c r="I153">
        <v>43.199999999999996</v>
      </c>
      <c r="J153" t="s">
        <v>43</v>
      </c>
    </row>
    <row r="154" spans="1:10" x14ac:dyDescent="0.25">
      <c r="A154" t="s">
        <v>184</v>
      </c>
      <c r="B154" s="1">
        <v>43296</v>
      </c>
      <c r="C154" t="s">
        <v>15</v>
      </c>
      <c r="D154" t="s">
        <v>27</v>
      </c>
      <c r="E154">
        <v>22</v>
      </c>
      <c r="F154">
        <v>40</v>
      </c>
      <c r="G154">
        <v>880</v>
      </c>
      <c r="H154">
        <v>0.01</v>
      </c>
      <c r="I154">
        <v>8.8000000000000007</v>
      </c>
      <c r="J154" t="s">
        <v>13</v>
      </c>
    </row>
    <row r="155" spans="1:10" x14ac:dyDescent="0.25">
      <c r="A155" t="s">
        <v>185</v>
      </c>
      <c r="B155" s="1">
        <v>43296</v>
      </c>
      <c r="C155" t="s">
        <v>30</v>
      </c>
      <c r="D155" t="s">
        <v>12</v>
      </c>
      <c r="E155">
        <v>7</v>
      </c>
      <c r="F155">
        <v>16</v>
      </c>
      <c r="G155">
        <v>112</v>
      </c>
      <c r="H155">
        <v>0.08</v>
      </c>
      <c r="I155">
        <v>8.9600000000000009</v>
      </c>
      <c r="J155" t="s">
        <v>17</v>
      </c>
    </row>
    <row r="156" spans="1:10" x14ac:dyDescent="0.25">
      <c r="A156" t="s">
        <v>186</v>
      </c>
      <c r="B156" s="1">
        <v>43296</v>
      </c>
      <c r="C156" t="s">
        <v>34</v>
      </c>
      <c r="D156" t="s">
        <v>24</v>
      </c>
      <c r="E156">
        <v>22</v>
      </c>
      <c r="F156">
        <v>150</v>
      </c>
      <c r="G156">
        <v>3300</v>
      </c>
      <c r="H156">
        <v>0.04</v>
      </c>
      <c r="I156">
        <v>132</v>
      </c>
      <c r="J156" t="s">
        <v>20</v>
      </c>
    </row>
    <row r="157" spans="1:10" x14ac:dyDescent="0.25">
      <c r="A157" t="s">
        <v>187</v>
      </c>
      <c r="B157" s="1">
        <v>43296</v>
      </c>
      <c r="C157" t="s">
        <v>30</v>
      </c>
      <c r="D157" t="s">
        <v>27</v>
      </c>
      <c r="E157">
        <v>15</v>
      </c>
      <c r="F157">
        <v>16</v>
      </c>
      <c r="G157">
        <v>240</v>
      </c>
      <c r="H157">
        <v>0.12</v>
      </c>
      <c r="I157">
        <v>28.799999999999997</v>
      </c>
      <c r="J157" t="s">
        <v>22</v>
      </c>
    </row>
    <row r="158" spans="1:10" x14ac:dyDescent="0.25">
      <c r="A158" t="s">
        <v>188</v>
      </c>
      <c r="B158" s="1">
        <v>43296</v>
      </c>
      <c r="C158" t="s">
        <v>11</v>
      </c>
      <c r="D158" t="s">
        <v>24</v>
      </c>
      <c r="E158">
        <v>20</v>
      </c>
      <c r="F158">
        <v>80</v>
      </c>
      <c r="G158">
        <v>1600</v>
      </c>
      <c r="H158">
        <v>7.0000000000000007E-2</v>
      </c>
      <c r="I158">
        <v>112.00000000000001</v>
      </c>
      <c r="J158" t="s">
        <v>25</v>
      </c>
    </row>
    <row r="159" spans="1:10" x14ac:dyDescent="0.25">
      <c r="A159" t="s">
        <v>189</v>
      </c>
      <c r="B159" s="1">
        <v>43296</v>
      </c>
      <c r="C159" t="s">
        <v>11</v>
      </c>
      <c r="D159" t="s">
        <v>24</v>
      </c>
      <c r="E159">
        <v>7</v>
      </c>
      <c r="F159">
        <v>80</v>
      </c>
      <c r="G159">
        <v>560</v>
      </c>
      <c r="H159">
        <v>0.05</v>
      </c>
      <c r="I159">
        <v>28</v>
      </c>
      <c r="J159" t="s">
        <v>28</v>
      </c>
    </row>
    <row r="160" spans="1:10" x14ac:dyDescent="0.25">
      <c r="A160" t="s">
        <v>190</v>
      </c>
      <c r="B160" s="1">
        <v>43296</v>
      </c>
      <c r="C160" t="s">
        <v>11</v>
      </c>
      <c r="D160" t="s">
        <v>16</v>
      </c>
      <c r="E160">
        <v>10</v>
      </c>
      <c r="F160">
        <v>80</v>
      </c>
      <c r="G160">
        <v>800</v>
      </c>
      <c r="H160">
        <v>0.11</v>
      </c>
      <c r="I160">
        <v>88</v>
      </c>
      <c r="J160" t="s">
        <v>32</v>
      </c>
    </row>
    <row r="161" spans="1:10" x14ac:dyDescent="0.25">
      <c r="A161" t="s">
        <v>191</v>
      </c>
      <c r="B161" s="1">
        <v>43296</v>
      </c>
      <c r="C161" t="s">
        <v>11</v>
      </c>
      <c r="D161" t="s">
        <v>16</v>
      </c>
      <c r="E161">
        <v>2</v>
      </c>
      <c r="F161">
        <v>80</v>
      </c>
      <c r="G161">
        <v>160</v>
      </c>
      <c r="H161">
        <v>7.0000000000000007E-2</v>
      </c>
      <c r="I161">
        <v>11.200000000000001</v>
      </c>
      <c r="J161" t="s">
        <v>35</v>
      </c>
    </row>
    <row r="162" spans="1:10" x14ac:dyDescent="0.25">
      <c r="A162" t="s">
        <v>192</v>
      </c>
      <c r="B162" s="1">
        <v>43296</v>
      </c>
      <c r="C162" t="s">
        <v>30</v>
      </c>
      <c r="D162" t="s">
        <v>31</v>
      </c>
      <c r="E162">
        <v>23</v>
      </c>
      <c r="F162">
        <v>16</v>
      </c>
      <c r="G162">
        <v>368</v>
      </c>
      <c r="H162">
        <v>0.01</v>
      </c>
      <c r="I162">
        <v>3.68</v>
      </c>
      <c r="J162" t="s">
        <v>37</v>
      </c>
    </row>
    <row r="163" spans="1:10" x14ac:dyDescent="0.25">
      <c r="A163" t="s">
        <v>193</v>
      </c>
      <c r="B163" s="1">
        <v>43296</v>
      </c>
      <c r="C163" t="s">
        <v>19</v>
      </c>
      <c r="D163" t="s">
        <v>16</v>
      </c>
      <c r="E163">
        <v>12</v>
      </c>
      <c r="F163">
        <v>230</v>
      </c>
      <c r="G163">
        <v>2760</v>
      </c>
      <c r="H163">
        <v>0.03</v>
      </c>
      <c r="I163">
        <v>82.8</v>
      </c>
      <c r="J163" t="s">
        <v>39</v>
      </c>
    </row>
    <row r="164" spans="1:10" x14ac:dyDescent="0.25">
      <c r="A164" t="s">
        <v>194</v>
      </c>
      <c r="B164" s="1">
        <v>43297</v>
      </c>
      <c r="C164" t="s">
        <v>19</v>
      </c>
      <c r="D164" t="s">
        <v>12</v>
      </c>
      <c r="E164">
        <v>7</v>
      </c>
      <c r="F164">
        <v>230</v>
      </c>
      <c r="G164">
        <v>1610</v>
      </c>
      <c r="H164">
        <v>0.08</v>
      </c>
      <c r="I164">
        <v>128.80000000000001</v>
      </c>
      <c r="J164" t="s">
        <v>41</v>
      </c>
    </row>
    <row r="165" spans="1:10" x14ac:dyDescent="0.25">
      <c r="A165" t="s">
        <v>195</v>
      </c>
      <c r="B165" s="1">
        <v>43297</v>
      </c>
      <c r="C165" t="s">
        <v>15</v>
      </c>
      <c r="D165" t="s">
        <v>27</v>
      </c>
      <c r="E165">
        <v>11</v>
      </c>
      <c r="F165">
        <v>40</v>
      </c>
      <c r="G165">
        <v>440</v>
      </c>
      <c r="H165">
        <v>0.06</v>
      </c>
      <c r="I165">
        <v>26.4</v>
      </c>
      <c r="J165" t="s">
        <v>43</v>
      </c>
    </row>
    <row r="166" spans="1:10" x14ac:dyDescent="0.25">
      <c r="A166" t="s">
        <v>196</v>
      </c>
      <c r="B166" s="1">
        <v>43297</v>
      </c>
      <c r="C166" t="s">
        <v>19</v>
      </c>
      <c r="D166" t="s">
        <v>16</v>
      </c>
      <c r="E166">
        <v>7</v>
      </c>
      <c r="F166">
        <v>230</v>
      </c>
      <c r="G166">
        <v>1610</v>
      </c>
      <c r="H166">
        <v>0.08</v>
      </c>
      <c r="I166">
        <v>128.80000000000001</v>
      </c>
      <c r="J166" t="s">
        <v>13</v>
      </c>
    </row>
    <row r="167" spans="1:10" x14ac:dyDescent="0.25">
      <c r="A167" t="s">
        <v>197</v>
      </c>
      <c r="B167" s="1">
        <v>43297</v>
      </c>
      <c r="C167" t="s">
        <v>11</v>
      </c>
      <c r="D167" t="s">
        <v>12</v>
      </c>
      <c r="E167">
        <v>8</v>
      </c>
      <c r="F167">
        <v>80</v>
      </c>
      <c r="G167">
        <v>640</v>
      </c>
      <c r="H167">
        <v>0.09</v>
      </c>
      <c r="I167">
        <v>57.599999999999994</v>
      </c>
      <c r="J167" t="s">
        <v>17</v>
      </c>
    </row>
    <row r="168" spans="1:10" x14ac:dyDescent="0.25">
      <c r="A168" t="s">
        <v>198</v>
      </c>
      <c r="B168" s="1">
        <v>43297</v>
      </c>
      <c r="C168" t="s">
        <v>11</v>
      </c>
      <c r="D168" t="s">
        <v>27</v>
      </c>
      <c r="E168">
        <v>16</v>
      </c>
      <c r="F168">
        <v>80</v>
      </c>
      <c r="G168">
        <v>1280</v>
      </c>
      <c r="H168">
        <v>7.0000000000000007E-2</v>
      </c>
      <c r="I168">
        <v>89.600000000000009</v>
      </c>
      <c r="J168" t="s">
        <v>20</v>
      </c>
    </row>
    <row r="169" spans="1:10" x14ac:dyDescent="0.25">
      <c r="A169" t="s">
        <v>199</v>
      </c>
      <c r="B169" s="1">
        <v>43297</v>
      </c>
      <c r="C169" t="s">
        <v>11</v>
      </c>
      <c r="D169" t="s">
        <v>24</v>
      </c>
      <c r="E169">
        <v>16</v>
      </c>
      <c r="F169">
        <v>80</v>
      </c>
      <c r="G169">
        <v>1280</v>
      </c>
      <c r="H169">
        <v>0.04</v>
      </c>
      <c r="I169">
        <v>51.2</v>
      </c>
      <c r="J169" t="s">
        <v>22</v>
      </c>
    </row>
    <row r="170" spans="1:10" x14ac:dyDescent="0.25">
      <c r="A170" t="s">
        <v>200</v>
      </c>
      <c r="B170" s="1">
        <v>43297</v>
      </c>
      <c r="C170" t="s">
        <v>30</v>
      </c>
      <c r="D170" t="s">
        <v>24</v>
      </c>
      <c r="E170">
        <v>9</v>
      </c>
      <c r="F170">
        <v>16</v>
      </c>
      <c r="G170">
        <v>144</v>
      </c>
      <c r="H170">
        <v>0.05</v>
      </c>
      <c r="I170">
        <v>7.2</v>
      </c>
      <c r="J170" t="s">
        <v>25</v>
      </c>
    </row>
    <row r="171" spans="1:10" x14ac:dyDescent="0.25">
      <c r="A171" t="s">
        <v>201</v>
      </c>
      <c r="B171" s="1">
        <v>43297</v>
      </c>
      <c r="C171" t="s">
        <v>34</v>
      </c>
      <c r="D171" t="s">
        <v>31</v>
      </c>
      <c r="E171">
        <v>11</v>
      </c>
      <c r="F171">
        <v>150</v>
      </c>
      <c r="G171">
        <v>1650</v>
      </c>
      <c r="H171">
        <v>0.09</v>
      </c>
      <c r="I171">
        <v>148.5</v>
      </c>
      <c r="J171" t="s">
        <v>28</v>
      </c>
    </row>
    <row r="172" spans="1:10" x14ac:dyDescent="0.25">
      <c r="A172" t="s">
        <v>202</v>
      </c>
      <c r="B172" s="1">
        <v>43297</v>
      </c>
      <c r="C172" t="s">
        <v>30</v>
      </c>
      <c r="D172" t="s">
        <v>12</v>
      </c>
      <c r="E172">
        <v>4</v>
      </c>
      <c r="F172">
        <v>16</v>
      </c>
      <c r="G172">
        <v>64</v>
      </c>
      <c r="H172">
        <v>0.12</v>
      </c>
      <c r="I172">
        <v>7.68</v>
      </c>
      <c r="J172" t="s">
        <v>32</v>
      </c>
    </row>
    <row r="173" spans="1:10" x14ac:dyDescent="0.25">
      <c r="A173" t="s">
        <v>203</v>
      </c>
      <c r="B173" s="1">
        <v>43297</v>
      </c>
      <c r="C173" t="s">
        <v>15</v>
      </c>
      <c r="D173" t="s">
        <v>27</v>
      </c>
      <c r="E173">
        <v>15</v>
      </c>
      <c r="F173">
        <v>40</v>
      </c>
      <c r="G173">
        <v>600</v>
      </c>
      <c r="H173">
        <v>0.03</v>
      </c>
      <c r="I173">
        <v>18</v>
      </c>
      <c r="J173" t="s">
        <v>35</v>
      </c>
    </row>
    <row r="174" spans="1:10" x14ac:dyDescent="0.25">
      <c r="A174" t="s">
        <v>204</v>
      </c>
      <c r="B174" s="1">
        <v>43297</v>
      </c>
      <c r="C174" t="s">
        <v>15</v>
      </c>
      <c r="D174" t="s">
        <v>31</v>
      </c>
      <c r="E174">
        <v>20</v>
      </c>
      <c r="F174">
        <v>40</v>
      </c>
      <c r="G174">
        <v>800</v>
      </c>
      <c r="H174">
        <v>0.03</v>
      </c>
      <c r="I174">
        <v>24</v>
      </c>
      <c r="J174" t="s">
        <v>37</v>
      </c>
    </row>
    <row r="175" spans="1:10" x14ac:dyDescent="0.25">
      <c r="A175" t="s">
        <v>205</v>
      </c>
      <c r="B175" s="1">
        <v>43298</v>
      </c>
      <c r="C175" t="s">
        <v>34</v>
      </c>
      <c r="D175" t="s">
        <v>24</v>
      </c>
      <c r="E175">
        <v>9</v>
      </c>
      <c r="F175">
        <v>150</v>
      </c>
      <c r="G175">
        <v>1350</v>
      </c>
      <c r="H175">
        <v>0.06</v>
      </c>
      <c r="I175">
        <v>81</v>
      </c>
      <c r="J175" t="s">
        <v>39</v>
      </c>
    </row>
    <row r="176" spans="1:10" x14ac:dyDescent="0.25">
      <c r="A176" t="s">
        <v>206</v>
      </c>
      <c r="B176" s="1">
        <v>43298</v>
      </c>
      <c r="C176" t="s">
        <v>15</v>
      </c>
      <c r="D176" t="s">
        <v>16</v>
      </c>
      <c r="E176">
        <v>23</v>
      </c>
      <c r="F176">
        <v>40</v>
      </c>
      <c r="G176">
        <v>920</v>
      </c>
      <c r="H176">
        <v>0.06</v>
      </c>
      <c r="I176">
        <v>55.199999999999996</v>
      </c>
      <c r="J176" t="s">
        <v>41</v>
      </c>
    </row>
    <row r="177" spans="1:10" x14ac:dyDescent="0.25">
      <c r="A177" t="s">
        <v>207</v>
      </c>
      <c r="B177" s="1">
        <v>43298</v>
      </c>
      <c r="C177" t="s">
        <v>11</v>
      </c>
      <c r="D177" t="s">
        <v>31</v>
      </c>
      <c r="E177">
        <v>13</v>
      </c>
      <c r="F177">
        <v>80</v>
      </c>
      <c r="G177">
        <v>1040</v>
      </c>
      <c r="H177">
        <v>0.05</v>
      </c>
      <c r="I177">
        <v>52</v>
      </c>
      <c r="J177" t="s">
        <v>43</v>
      </c>
    </row>
    <row r="178" spans="1:10" x14ac:dyDescent="0.25">
      <c r="A178" t="s">
        <v>208</v>
      </c>
      <c r="B178" s="1">
        <v>43298</v>
      </c>
      <c r="C178" t="s">
        <v>30</v>
      </c>
      <c r="D178" t="s">
        <v>12</v>
      </c>
      <c r="E178">
        <v>22</v>
      </c>
      <c r="F178">
        <v>16</v>
      </c>
      <c r="G178">
        <v>352</v>
      </c>
      <c r="H178">
        <v>0.01</v>
      </c>
      <c r="I178">
        <v>3.52</v>
      </c>
      <c r="J178" t="s">
        <v>13</v>
      </c>
    </row>
    <row r="179" spans="1:10" x14ac:dyDescent="0.25">
      <c r="A179" t="s">
        <v>209</v>
      </c>
      <c r="B179" s="1">
        <v>43298</v>
      </c>
      <c r="C179" t="s">
        <v>15</v>
      </c>
      <c r="D179" t="s">
        <v>12</v>
      </c>
      <c r="E179">
        <v>19</v>
      </c>
      <c r="F179">
        <v>40</v>
      </c>
      <c r="G179">
        <v>760</v>
      </c>
      <c r="H179">
        <v>0.04</v>
      </c>
      <c r="I179">
        <v>30.400000000000002</v>
      </c>
      <c r="J179" t="s">
        <v>17</v>
      </c>
    </row>
    <row r="180" spans="1:10" x14ac:dyDescent="0.25">
      <c r="A180" t="s">
        <v>210</v>
      </c>
      <c r="B180" s="1">
        <v>43298</v>
      </c>
      <c r="C180" t="s">
        <v>11</v>
      </c>
      <c r="D180" t="s">
        <v>27</v>
      </c>
      <c r="E180">
        <v>4</v>
      </c>
      <c r="F180">
        <v>80</v>
      </c>
      <c r="G180">
        <v>320</v>
      </c>
      <c r="H180">
        <v>0.11</v>
      </c>
      <c r="I180">
        <v>35.200000000000003</v>
      </c>
      <c r="J180" t="s">
        <v>20</v>
      </c>
    </row>
    <row r="181" spans="1:10" x14ac:dyDescent="0.25">
      <c r="A181" t="s">
        <v>211</v>
      </c>
      <c r="B181" s="1">
        <v>43298</v>
      </c>
      <c r="C181" t="s">
        <v>30</v>
      </c>
      <c r="D181" t="s">
        <v>12</v>
      </c>
      <c r="E181">
        <v>12</v>
      </c>
      <c r="F181">
        <v>16</v>
      </c>
      <c r="G181">
        <v>192</v>
      </c>
      <c r="H181">
        <v>0.11</v>
      </c>
      <c r="I181">
        <v>21.12</v>
      </c>
      <c r="J181" t="s">
        <v>22</v>
      </c>
    </row>
    <row r="182" spans="1:10" x14ac:dyDescent="0.25">
      <c r="A182" t="s">
        <v>212</v>
      </c>
      <c r="B182" s="1">
        <v>43298</v>
      </c>
      <c r="C182" t="s">
        <v>34</v>
      </c>
      <c r="D182" t="s">
        <v>16</v>
      </c>
      <c r="E182">
        <v>16</v>
      </c>
      <c r="F182">
        <v>150</v>
      </c>
      <c r="G182">
        <v>2400</v>
      </c>
      <c r="H182">
        <v>0.08</v>
      </c>
      <c r="I182">
        <v>192</v>
      </c>
      <c r="J182" t="s">
        <v>25</v>
      </c>
    </row>
    <row r="183" spans="1:10" x14ac:dyDescent="0.25">
      <c r="A183" t="s">
        <v>213</v>
      </c>
      <c r="B183" s="1">
        <v>43298</v>
      </c>
      <c r="C183" t="s">
        <v>11</v>
      </c>
      <c r="D183" t="s">
        <v>12</v>
      </c>
      <c r="E183">
        <v>7</v>
      </c>
      <c r="F183">
        <v>80</v>
      </c>
      <c r="G183">
        <v>560</v>
      </c>
      <c r="H183">
        <v>0.02</v>
      </c>
      <c r="I183">
        <v>11.200000000000001</v>
      </c>
      <c r="J183" t="s">
        <v>28</v>
      </c>
    </row>
    <row r="184" spans="1:10" x14ac:dyDescent="0.25">
      <c r="A184" t="s">
        <v>214</v>
      </c>
      <c r="B184" s="1">
        <v>43298</v>
      </c>
      <c r="C184" t="s">
        <v>15</v>
      </c>
      <c r="D184" t="s">
        <v>31</v>
      </c>
      <c r="E184">
        <v>20</v>
      </c>
      <c r="F184">
        <v>40</v>
      </c>
      <c r="G184">
        <v>800</v>
      </c>
      <c r="H184">
        <v>7.0000000000000007E-2</v>
      </c>
      <c r="I184">
        <v>56.000000000000007</v>
      </c>
      <c r="J184" t="s">
        <v>32</v>
      </c>
    </row>
    <row r="185" spans="1:10" x14ac:dyDescent="0.25">
      <c r="A185" t="s">
        <v>215</v>
      </c>
      <c r="B185" s="1">
        <v>43298</v>
      </c>
      <c r="C185" t="s">
        <v>11</v>
      </c>
      <c r="D185" t="s">
        <v>16</v>
      </c>
      <c r="E185">
        <v>15</v>
      </c>
      <c r="F185">
        <v>80</v>
      </c>
      <c r="G185">
        <v>1200</v>
      </c>
      <c r="H185">
        <v>0.12</v>
      </c>
      <c r="I185">
        <v>144</v>
      </c>
      <c r="J185" t="s">
        <v>35</v>
      </c>
    </row>
    <row r="186" spans="1:10" x14ac:dyDescent="0.25">
      <c r="A186" t="s">
        <v>216</v>
      </c>
      <c r="B186" s="1">
        <v>43298</v>
      </c>
      <c r="C186" t="s">
        <v>15</v>
      </c>
      <c r="D186" t="s">
        <v>12</v>
      </c>
      <c r="E186">
        <v>5</v>
      </c>
      <c r="F186">
        <v>40</v>
      </c>
      <c r="G186">
        <v>200</v>
      </c>
      <c r="H186">
        <v>0.09</v>
      </c>
      <c r="I186">
        <v>18</v>
      </c>
      <c r="J186" t="s">
        <v>37</v>
      </c>
    </row>
    <row r="187" spans="1:10" x14ac:dyDescent="0.25">
      <c r="A187" t="s">
        <v>217</v>
      </c>
      <c r="B187" s="1">
        <v>43298</v>
      </c>
      <c r="C187" t="s">
        <v>30</v>
      </c>
      <c r="D187" t="s">
        <v>31</v>
      </c>
      <c r="E187">
        <v>12</v>
      </c>
      <c r="F187">
        <v>16</v>
      </c>
      <c r="G187">
        <v>192</v>
      </c>
      <c r="H187">
        <v>0.04</v>
      </c>
      <c r="I187">
        <v>7.68</v>
      </c>
      <c r="J187" t="s">
        <v>39</v>
      </c>
    </row>
    <row r="188" spans="1:10" x14ac:dyDescent="0.25">
      <c r="A188" t="s">
        <v>218</v>
      </c>
      <c r="B188" s="1">
        <v>43299</v>
      </c>
      <c r="C188" t="s">
        <v>34</v>
      </c>
      <c r="D188" t="s">
        <v>27</v>
      </c>
      <c r="E188">
        <v>3</v>
      </c>
      <c r="F188">
        <v>150</v>
      </c>
      <c r="G188">
        <v>450</v>
      </c>
      <c r="H188">
        <v>0.01</v>
      </c>
      <c r="I188">
        <v>4.5</v>
      </c>
      <c r="J188" t="s">
        <v>41</v>
      </c>
    </row>
    <row r="189" spans="1:10" x14ac:dyDescent="0.25">
      <c r="A189" t="s">
        <v>219</v>
      </c>
      <c r="B189" s="1">
        <v>43299</v>
      </c>
      <c r="C189" t="s">
        <v>15</v>
      </c>
      <c r="D189" t="s">
        <v>31</v>
      </c>
      <c r="E189">
        <v>7</v>
      </c>
      <c r="F189">
        <v>40</v>
      </c>
      <c r="G189">
        <v>280</v>
      </c>
      <c r="H189">
        <v>0.12</v>
      </c>
      <c r="I189">
        <v>33.6</v>
      </c>
      <c r="J189" t="s">
        <v>43</v>
      </c>
    </row>
    <row r="190" spans="1:10" x14ac:dyDescent="0.25">
      <c r="A190" t="s">
        <v>220</v>
      </c>
      <c r="B190" s="1">
        <v>43299</v>
      </c>
      <c r="C190" t="s">
        <v>11</v>
      </c>
      <c r="D190" t="s">
        <v>16</v>
      </c>
      <c r="E190">
        <v>2</v>
      </c>
      <c r="F190">
        <v>80</v>
      </c>
      <c r="G190">
        <v>160</v>
      </c>
      <c r="H190">
        <v>0.04</v>
      </c>
      <c r="I190">
        <v>6.4</v>
      </c>
      <c r="J190" t="s">
        <v>13</v>
      </c>
    </row>
    <row r="191" spans="1:10" x14ac:dyDescent="0.25">
      <c r="A191" t="s">
        <v>221</v>
      </c>
      <c r="B191" s="1">
        <v>43299</v>
      </c>
      <c r="C191" t="s">
        <v>15</v>
      </c>
      <c r="D191" t="s">
        <v>27</v>
      </c>
      <c r="E191">
        <v>6</v>
      </c>
      <c r="F191">
        <v>40</v>
      </c>
      <c r="G191">
        <v>240</v>
      </c>
      <c r="H191">
        <v>7.0000000000000007E-2</v>
      </c>
      <c r="I191">
        <v>16.8</v>
      </c>
      <c r="J191" t="s">
        <v>17</v>
      </c>
    </row>
    <row r="192" spans="1:10" x14ac:dyDescent="0.25">
      <c r="A192" t="s">
        <v>222</v>
      </c>
      <c r="B192" s="1">
        <v>43299</v>
      </c>
      <c r="C192" t="s">
        <v>30</v>
      </c>
      <c r="D192" t="s">
        <v>24</v>
      </c>
      <c r="E192">
        <v>6</v>
      </c>
      <c r="F192">
        <v>16</v>
      </c>
      <c r="G192">
        <v>96</v>
      </c>
      <c r="H192">
        <v>0.06</v>
      </c>
      <c r="I192">
        <v>5.76</v>
      </c>
      <c r="J192" t="s">
        <v>20</v>
      </c>
    </row>
    <row r="193" spans="1:10" x14ac:dyDescent="0.25">
      <c r="A193" t="s">
        <v>223</v>
      </c>
      <c r="B193" s="1">
        <v>43299</v>
      </c>
      <c r="C193" t="s">
        <v>30</v>
      </c>
      <c r="D193" t="s">
        <v>12</v>
      </c>
      <c r="E193">
        <v>7</v>
      </c>
      <c r="F193">
        <v>16</v>
      </c>
      <c r="G193">
        <v>112</v>
      </c>
      <c r="H193">
        <v>0.02</v>
      </c>
      <c r="I193">
        <v>2.2400000000000002</v>
      </c>
      <c r="J193" t="s">
        <v>22</v>
      </c>
    </row>
    <row r="194" spans="1:10" x14ac:dyDescent="0.25">
      <c r="A194" t="s">
        <v>224</v>
      </c>
      <c r="B194" s="1">
        <v>43299</v>
      </c>
      <c r="C194" t="s">
        <v>30</v>
      </c>
      <c r="D194" t="s">
        <v>16</v>
      </c>
      <c r="E194">
        <v>20</v>
      </c>
      <c r="F194">
        <v>16</v>
      </c>
      <c r="G194">
        <v>320</v>
      </c>
      <c r="H194">
        <v>0.06</v>
      </c>
      <c r="I194">
        <v>19.2</v>
      </c>
      <c r="J194" t="s">
        <v>25</v>
      </c>
    </row>
    <row r="195" spans="1:10" x14ac:dyDescent="0.25">
      <c r="A195" t="s">
        <v>225</v>
      </c>
      <c r="B195" s="1">
        <v>43299</v>
      </c>
      <c r="C195" t="s">
        <v>30</v>
      </c>
      <c r="D195" t="s">
        <v>16</v>
      </c>
      <c r="E195">
        <v>21</v>
      </c>
      <c r="F195">
        <v>16</v>
      </c>
      <c r="G195">
        <v>336</v>
      </c>
      <c r="H195">
        <v>0.02</v>
      </c>
      <c r="I195">
        <v>6.72</v>
      </c>
      <c r="J195" t="s">
        <v>28</v>
      </c>
    </row>
    <row r="196" spans="1:10" x14ac:dyDescent="0.25">
      <c r="A196" t="s">
        <v>226</v>
      </c>
      <c r="B196" s="1">
        <v>43299</v>
      </c>
      <c r="C196" t="s">
        <v>11</v>
      </c>
      <c r="D196" t="s">
        <v>27</v>
      </c>
      <c r="E196">
        <v>21</v>
      </c>
      <c r="F196">
        <v>80</v>
      </c>
      <c r="G196">
        <v>1680</v>
      </c>
      <c r="H196">
        <v>0.05</v>
      </c>
      <c r="I196">
        <v>84</v>
      </c>
      <c r="J196" t="s">
        <v>32</v>
      </c>
    </row>
    <row r="197" spans="1:10" x14ac:dyDescent="0.25">
      <c r="A197" t="s">
        <v>227</v>
      </c>
      <c r="B197" s="1">
        <v>43299</v>
      </c>
      <c r="C197" t="s">
        <v>30</v>
      </c>
      <c r="D197" t="s">
        <v>27</v>
      </c>
      <c r="E197">
        <v>10</v>
      </c>
      <c r="F197">
        <v>16</v>
      </c>
      <c r="G197">
        <v>160</v>
      </c>
      <c r="H197">
        <v>0.01</v>
      </c>
      <c r="I197">
        <v>1.6</v>
      </c>
      <c r="J197" t="s">
        <v>35</v>
      </c>
    </row>
    <row r="198" spans="1:10" x14ac:dyDescent="0.25">
      <c r="A198" t="s">
        <v>228</v>
      </c>
      <c r="B198" s="1">
        <v>43300</v>
      </c>
      <c r="C198" t="s">
        <v>19</v>
      </c>
      <c r="D198" t="s">
        <v>27</v>
      </c>
      <c r="E198">
        <v>2</v>
      </c>
      <c r="F198">
        <v>230</v>
      </c>
      <c r="G198">
        <v>460</v>
      </c>
      <c r="H198">
        <v>0.09</v>
      </c>
      <c r="I198">
        <v>41.4</v>
      </c>
      <c r="J198" t="s">
        <v>37</v>
      </c>
    </row>
    <row r="199" spans="1:10" x14ac:dyDescent="0.25">
      <c r="A199" t="s">
        <v>229</v>
      </c>
      <c r="B199" s="1">
        <v>43300</v>
      </c>
      <c r="C199" t="s">
        <v>34</v>
      </c>
      <c r="D199" t="s">
        <v>12</v>
      </c>
      <c r="E199">
        <v>20</v>
      </c>
      <c r="F199">
        <v>150</v>
      </c>
      <c r="G199">
        <v>3000</v>
      </c>
      <c r="H199">
        <v>0.03</v>
      </c>
      <c r="I199">
        <v>90</v>
      </c>
      <c r="J199" t="s">
        <v>39</v>
      </c>
    </row>
    <row r="200" spans="1:10" x14ac:dyDescent="0.25">
      <c r="A200" t="s">
        <v>230</v>
      </c>
      <c r="B200" s="1">
        <v>43300</v>
      </c>
      <c r="C200" t="s">
        <v>15</v>
      </c>
      <c r="D200" t="s">
        <v>12</v>
      </c>
      <c r="E200">
        <v>23</v>
      </c>
      <c r="F200">
        <v>40</v>
      </c>
      <c r="G200">
        <v>920</v>
      </c>
      <c r="H200">
        <v>0.03</v>
      </c>
      <c r="I200">
        <v>27.599999999999998</v>
      </c>
      <c r="J200" t="s">
        <v>41</v>
      </c>
    </row>
    <row r="201" spans="1:10" x14ac:dyDescent="0.25">
      <c r="A201" t="s">
        <v>231</v>
      </c>
      <c r="B201" s="1">
        <v>43300</v>
      </c>
      <c r="C201" t="s">
        <v>11</v>
      </c>
      <c r="D201" t="s">
        <v>27</v>
      </c>
      <c r="E201">
        <v>17</v>
      </c>
      <c r="F201">
        <v>80</v>
      </c>
      <c r="G201">
        <v>1360</v>
      </c>
      <c r="H201">
        <v>0.05</v>
      </c>
      <c r="I201">
        <v>68</v>
      </c>
      <c r="J201" t="s">
        <v>43</v>
      </c>
    </row>
    <row r="202" spans="1:10" x14ac:dyDescent="0.25">
      <c r="A202" t="s">
        <v>232</v>
      </c>
      <c r="B202" s="1">
        <v>43300</v>
      </c>
      <c r="C202" t="s">
        <v>19</v>
      </c>
      <c r="D202" t="s">
        <v>27</v>
      </c>
      <c r="E202">
        <v>11</v>
      </c>
      <c r="F202">
        <v>230</v>
      </c>
      <c r="G202">
        <v>2530</v>
      </c>
      <c r="H202">
        <v>0.12</v>
      </c>
      <c r="I202">
        <v>303.59999999999997</v>
      </c>
      <c r="J202" t="s">
        <v>13</v>
      </c>
    </row>
    <row r="203" spans="1:10" x14ac:dyDescent="0.25">
      <c r="A203" t="s">
        <v>233</v>
      </c>
      <c r="B203" s="1">
        <v>43300</v>
      </c>
      <c r="C203" t="s">
        <v>34</v>
      </c>
      <c r="D203" t="s">
        <v>16</v>
      </c>
      <c r="E203">
        <v>10</v>
      </c>
      <c r="F203">
        <v>150</v>
      </c>
      <c r="G203">
        <v>1500</v>
      </c>
      <c r="H203">
        <v>0.01</v>
      </c>
      <c r="I203">
        <v>15</v>
      </c>
      <c r="J203" t="s">
        <v>17</v>
      </c>
    </row>
    <row r="204" spans="1:10" x14ac:dyDescent="0.25">
      <c r="A204" t="s">
        <v>234</v>
      </c>
      <c r="B204" s="1">
        <v>43300</v>
      </c>
      <c r="C204" t="s">
        <v>11</v>
      </c>
      <c r="D204" t="s">
        <v>16</v>
      </c>
      <c r="E204">
        <v>17</v>
      </c>
      <c r="F204">
        <v>80</v>
      </c>
      <c r="G204">
        <v>1360</v>
      </c>
      <c r="H204">
        <v>0.03</v>
      </c>
      <c r="I204">
        <v>40.799999999999997</v>
      </c>
      <c r="J204" t="s">
        <v>20</v>
      </c>
    </row>
    <row r="205" spans="1:10" x14ac:dyDescent="0.25">
      <c r="A205" t="s">
        <v>235</v>
      </c>
      <c r="B205" s="1">
        <v>43301</v>
      </c>
      <c r="C205" t="s">
        <v>19</v>
      </c>
      <c r="D205" t="s">
        <v>12</v>
      </c>
      <c r="E205">
        <v>9</v>
      </c>
      <c r="F205">
        <v>230</v>
      </c>
      <c r="G205">
        <v>2070</v>
      </c>
      <c r="H205">
        <v>7.0000000000000007E-2</v>
      </c>
      <c r="I205">
        <v>144.9</v>
      </c>
      <c r="J205" t="s">
        <v>22</v>
      </c>
    </row>
    <row r="206" spans="1:10" x14ac:dyDescent="0.25">
      <c r="A206" t="s">
        <v>236</v>
      </c>
      <c r="B206" s="1">
        <v>43301</v>
      </c>
      <c r="C206" t="s">
        <v>19</v>
      </c>
      <c r="D206" t="s">
        <v>12</v>
      </c>
      <c r="E206">
        <v>11</v>
      </c>
      <c r="F206">
        <v>230</v>
      </c>
      <c r="G206">
        <v>2530</v>
      </c>
      <c r="H206">
        <v>0.02</v>
      </c>
      <c r="I206">
        <v>50.6</v>
      </c>
      <c r="J206" t="s">
        <v>25</v>
      </c>
    </row>
    <row r="207" spans="1:10" x14ac:dyDescent="0.25">
      <c r="A207" t="s">
        <v>237</v>
      </c>
      <c r="B207" s="1">
        <v>43301</v>
      </c>
      <c r="C207" t="s">
        <v>15</v>
      </c>
      <c r="D207" t="s">
        <v>24</v>
      </c>
      <c r="E207">
        <v>2</v>
      </c>
      <c r="F207">
        <v>40</v>
      </c>
      <c r="G207">
        <v>80</v>
      </c>
      <c r="H207">
        <v>0.02</v>
      </c>
      <c r="I207">
        <v>1.6</v>
      </c>
      <c r="J207" t="s">
        <v>28</v>
      </c>
    </row>
    <row r="208" spans="1:10" x14ac:dyDescent="0.25">
      <c r="A208" t="s">
        <v>238</v>
      </c>
      <c r="B208" s="1">
        <v>43301</v>
      </c>
      <c r="C208" t="s">
        <v>19</v>
      </c>
      <c r="D208" t="s">
        <v>31</v>
      </c>
      <c r="E208">
        <v>3</v>
      </c>
      <c r="F208">
        <v>230</v>
      </c>
      <c r="G208">
        <v>690</v>
      </c>
      <c r="H208">
        <v>0.1</v>
      </c>
      <c r="I208">
        <v>69</v>
      </c>
      <c r="J208" t="s">
        <v>32</v>
      </c>
    </row>
    <row r="209" spans="1:10" x14ac:dyDescent="0.25">
      <c r="A209" t="s">
        <v>239</v>
      </c>
      <c r="B209" s="1">
        <v>43301</v>
      </c>
      <c r="C209" t="s">
        <v>15</v>
      </c>
      <c r="D209" t="s">
        <v>31</v>
      </c>
      <c r="E209">
        <v>7</v>
      </c>
      <c r="F209">
        <v>40</v>
      </c>
      <c r="G209">
        <v>280</v>
      </c>
      <c r="H209">
        <v>0.05</v>
      </c>
      <c r="I209">
        <v>14</v>
      </c>
      <c r="J209" t="s">
        <v>35</v>
      </c>
    </row>
    <row r="210" spans="1:10" x14ac:dyDescent="0.25">
      <c r="A210" t="s">
        <v>240</v>
      </c>
      <c r="B210" s="1">
        <v>43301</v>
      </c>
      <c r="C210" t="s">
        <v>34</v>
      </c>
      <c r="D210" t="s">
        <v>16</v>
      </c>
      <c r="E210">
        <v>20</v>
      </c>
      <c r="F210">
        <v>150</v>
      </c>
      <c r="G210">
        <v>3000</v>
      </c>
      <c r="H210">
        <v>0.09</v>
      </c>
      <c r="I210">
        <v>270</v>
      </c>
      <c r="J210" t="s">
        <v>37</v>
      </c>
    </row>
    <row r="211" spans="1:10" x14ac:dyDescent="0.25">
      <c r="A211" t="s">
        <v>241</v>
      </c>
      <c r="B211" s="1">
        <v>43301</v>
      </c>
      <c r="C211" t="s">
        <v>15</v>
      </c>
      <c r="D211" t="s">
        <v>24</v>
      </c>
      <c r="E211">
        <v>4</v>
      </c>
      <c r="F211">
        <v>40</v>
      </c>
      <c r="G211">
        <v>160</v>
      </c>
      <c r="H211">
        <v>0.11</v>
      </c>
      <c r="I211">
        <v>17.600000000000001</v>
      </c>
      <c r="J211" t="s">
        <v>39</v>
      </c>
    </row>
    <row r="212" spans="1:10" x14ac:dyDescent="0.25">
      <c r="A212" t="s">
        <v>242</v>
      </c>
      <c r="B212" s="1">
        <v>43302</v>
      </c>
      <c r="C212" t="s">
        <v>19</v>
      </c>
      <c r="D212" t="s">
        <v>24</v>
      </c>
      <c r="E212">
        <v>2</v>
      </c>
      <c r="F212">
        <v>230</v>
      </c>
      <c r="G212">
        <v>460</v>
      </c>
      <c r="H212">
        <v>0.09</v>
      </c>
      <c r="I212">
        <v>41.4</v>
      </c>
      <c r="J212" t="s">
        <v>13</v>
      </c>
    </row>
    <row r="213" spans="1:10" x14ac:dyDescent="0.25">
      <c r="A213" t="s">
        <v>243</v>
      </c>
      <c r="B213" s="1">
        <v>43302</v>
      </c>
      <c r="C213" t="s">
        <v>15</v>
      </c>
      <c r="D213" t="s">
        <v>16</v>
      </c>
      <c r="E213">
        <v>7</v>
      </c>
      <c r="F213">
        <v>40</v>
      </c>
      <c r="G213">
        <v>280</v>
      </c>
      <c r="H213">
        <v>0.01</v>
      </c>
      <c r="I213">
        <v>2.8000000000000003</v>
      </c>
      <c r="J213" t="s">
        <v>17</v>
      </c>
    </row>
    <row r="214" spans="1:10" x14ac:dyDescent="0.25">
      <c r="A214" t="s">
        <v>244</v>
      </c>
      <c r="B214" s="1">
        <v>43302</v>
      </c>
      <c r="C214" t="s">
        <v>15</v>
      </c>
      <c r="D214" t="s">
        <v>12</v>
      </c>
      <c r="E214">
        <v>2</v>
      </c>
      <c r="F214">
        <v>40</v>
      </c>
      <c r="G214">
        <v>80</v>
      </c>
      <c r="H214">
        <v>0.12</v>
      </c>
      <c r="I214">
        <v>9.6</v>
      </c>
      <c r="J214" t="s">
        <v>20</v>
      </c>
    </row>
    <row r="215" spans="1:10" x14ac:dyDescent="0.25">
      <c r="A215" t="s">
        <v>245</v>
      </c>
      <c r="B215" s="1">
        <v>43302</v>
      </c>
      <c r="C215" t="s">
        <v>11</v>
      </c>
      <c r="D215" t="s">
        <v>16</v>
      </c>
      <c r="E215">
        <v>3</v>
      </c>
      <c r="F215">
        <v>80</v>
      </c>
      <c r="G215">
        <v>240</v>
      </c>
      <c r="H215">
        <v>0.02</v>
      </c>
      <c r="I215">
        <v>4.8</v>
      </c>
      <c r="J215" t="s">
        <v>22</v>
      </c>
    </row>
    <row r="216" spans="1:10" x14ac:dyDescent="0.25">
      <c r="A216" t="s">
        <v>246</v>
      </c>
      <c r="B216" s="1">
        <v>43302</v>
      </c>
      <c r="C216" t="s">
        <v>30</v>
      </c>
      <c r="D216" t="s">
        <v>12</v>
      </c>
      <c r="E216">
        <v>18</v>
      </c>
      <c r="F216">
        <v>16</v>
      </c>
      <c r="G216">
        <v>288</v>
      </c>
      <c r="H216">
        <v>0.11</v>
      </c>
      <c r="I216">
        <v>31.68</v>
      </c>
      <c r="J216" t="s">
        <v>25</v>
      </c>
    </row>
    <row r="217" spans="1:10" x14ac:dyDescent="0.25">
      <c r="A217" t="s">
        <v>247</v>
      </c>
      <c r="B217" s="1">
        <v>43302</v>
      </c>
      <c r="C217" t="s">
        <v>11</v>
      </c>
      <c r="D217" t="s">
        <v>16</v>
      </c>
      <c r="E217">
        <v>5</v>
      </c>
      <c r="F217">
        <v>80</v>
      </c>
      <c r="G217">
        <v>400</v>
      </c>
      <c r="H217">
        <v>7.0000000000000007E-2</v>
      </c>
      <c r="I217">
        <v>28.000000000000004</v>
      </c>
      <c r="J217" t="s">
        <v>28</v>
      </c>
    </row>
    <row r="218" spans="1:10" x14ac:dyDescent="0.25">
      <c r="A218" t="s">
        <v>248</v>
      </c>
      <c r="B218" s="1">
        <v>43302</v>
      </c>
      <c r="C218" t="s">
        <v>30</v>
      </c>
      <c r="D218" t="s">
        <v>24</v>
      </c>
      <c r="E218">
        <v>3</v>
      </c>
      <c r="F218">
        <v>16</v>
      </c>
      <c r="G218">
        <v>48</v>
      </c>
      <c r="H218">
        <v>0.05</v>
      </c>
      <c r="I218">
        <v>2.4000000000000004</v>
      </c>
      <c r="J218" t="s">
        <v>32</v>
      </c>
    </row>
    <row r="219" spans="1:10" x14ac:dyDescent="0.25">
      <c r="A219" t="s">
        <v>249</v>
      </c>
      <c r="B219" s="1">
        <v>43302</v>
      </c>
      <c r="C219" t="s">
        <v>11</v>
      </c>
      <c r="D219" t="s">
        <v>27</v>
      </c>
      <c r="E219">
        <v>7</v>
      </c>
      <c r="F219">
        <v>80</v>
      </c>
      <c r="G219">
        <v>560</v>
      </c>
      <c r="H219">
        <v>0.02</v>
      </c>
      <c r="I219">
        <v>11.200000000000001</v>
      </c>
      <c r="J219" t="s">
        <v>35</v>
      </c>
    </row>
    <row r="220" spans="1:10" x14ac:dyDescent="0.25">
      <c r="A220" t="s">
        <v>250</v>
      </c>
      <c r="B220" s="1">
        <v>43302</v>
      </c>
      <c r="C220" t="s">
        <v>34</v>
      </c>
      <c r="D220" t="s">
        <v>27</v>
      </c>
      <c r="E220">
        <v>15</v>
      </c>
      <c r="F220">
        <v>150</v>
      </c>
      <c r="G220">
        <v>2250</v>
      </c>
      <c r="H220">
        <v>0.08</v>
      </c>
      <c r="I220">
        <v>180</v>
      </c>
      <c r="J220" t="s">
        <v>37</v>
      </c>
    </row>
    <row r="221" spans="1:10" x14ac:dyDescent="0.25">
      <c r="A221" t="s">
        <v>251</v>
      </c>
      <c r="B221" s="1">
        <v>43302</v>
      </c>
      <c r="C221" t="s">
        <v>11</v>
      </c>
      <c r="D221" t="s">
        <v>24</v>
      </c>
      <c r="E221">
        <v>10</v>
      </c>
      <c r="F221">
        <v>80</v>
      </c>
      <c r="G221">
        <v>800</v>
      </c>
      <c r="H221">
        <v>0.11</v>
      </c>
      <c r="I221">
        <v>88</v>
      </c>
      <c r="J221" t="s">
        <v>39</v>
      </c>
    </row>
    <row r="222" spans="1:10" x14ac:dyDescent="0.25">
      <c r="A222" t="s">
        <v>252</v>
      </c>
      <c r="B222" s="1">
        <v>43302</v>
      </c>
      <c r="C222" t="s">
        <v>19</v>
      </c>
      <c r="D222" t="s">
        <v>31</v>
      </c>
      <c r="E222">
        <v>13</v>
      </c>
      <c r="F222">
        <v>230</v>
      </c>
      <c r="G222">
        <v>2990</v>
      </c>
      <c r="H222">
        <v>0.06</v>
      </c>
      <c r="I222">
        <v>179.4</v>
      </c>
      <c r="J222" t="s">
        <v>41</v>
      </c>
    </row>
    <row r="223" spans="1:10" x14ac:dyDescent="0.25">
      <c r="A223" t="s">
        <v>253</v>
      </c>
      <c r="B223" s="1">
        <v>43302</v>
      </c>
      <c r="C223" t="s">
        <v>15</v>
      </c>
      <c r="D223" t="s">
        <v>12</v>
      </c>
      <c r="E223">
        <v>7</v>
      </c>
      <c r="F223">
        <v>40</v>
      </c>
      <c r="G223">
        <v>280</v>
      </c>
      <c r="H223">
        <v>0.1</v>
      </c>
      <c r="I223">
        <v>28</v>
      </c>
      <c r="J223" t="s">
        <v>43</v>
      </c>
    </row>
    <row r="224" spans="1:10" x14ac:dyDescent="0.25">
      <c r="A224" t="s">
        <v>254</v>
      </c>
      <c r="B224" s="1">
        <v>43302</v>
      </c>
      <c r="C224" t="s">
        <v>30</v>
      </c>
      <c r="D224" t="s">
        <v>24</v>
      </c>
      <c r="E224">
        <v>6</v>
      </c>
      <c r="F224">
        <v>16</v>
      </c>
      <c r="G224">
        <v>96</v>
      </c>
      <c r="H224">
        <v>0.01</v>
      </c>
      <c r="I224">
        <v>0.96</v>
      </c>
      <c r="J224" t="s">
        <v>13</v>
      </c>
    </row>
    <row r="225" spans="1:10" x14ac:dyDescent="0.25">
      <c r="A225" t="s">
        <v>255</v>
      </c>
      <c r="B225" s="1">
        <v>43303</v>
      </c>
      <c r="C225" t="s">
        <v>15</v>
      </c>
      <c r="D225" t="s">
        <v>24</v>
      </c>
      <c r="E225">
        <v>11</v>
      </c>
      <c r="F225">
        <v>40</v>
      </c>
      <c r="G225">
        <v>440</v>
      </c>
      <c r="H225">
        <v>0.05</v>
      </c>
      <c r="I225">
        <v>22</v>
      </c>
      <c r="J225" t="s">
        <v>17</v>
      </c>
    </row>
    <row r="226" spans="1:10" x14ac:dyDescent="0.25">
      <c r="A226" t="s">
        <v>256</v>
      </c>
      <c r="B226" s="1">
        <v>43303</v>
      </c>
      <c r="C226" t="s">
        <v>11</v>
      </c>
      <c r="D226" t="s">
        <v>27</v>
      </c>
      <c r="E226">
        <v>8</v>
      </c>
      <c r="F226">
        <v>80</v>
      </c>
      <c r="G226">
        <v>640</v>
      </c>
      <c r="H226">
        <v>0.06</v>
      </c>
      <c r="I226">
        <v>38.4</v>
      </c>
      <c r="J226" t="s">
        <v>20</v>
      </c>
    </row>
    <row r="227" spans="1:10" x14ac:dyDescent="0.25">
      <c r="A227" t="s">
        <v>257</v>
      </c>
      <c r="B227" s="1">
        <v>43303</v>
      </c>
      <c r="C227" t="s">
        <v>11</v>
      </c>
      <c r="D227" t="s">
        <v>12</v>
      </c>
      <c r="E227">
        <v>9</v>
      </c>
      <c r="F227">
        <v>80</v>
      </c>
      <c r="G227">
        <v>720</v>
      </c>
      <c r="H227">
        <v>0.04</v>
      </c>
      <c r="I227">
        <v>28.8</v>
      </c>
      <c r="J227" t="s">
        <v>22</v>
      </c>
    </row>
    <row r="228" spans="1:10" x14ac:dyDescent="0.25">
      <c r="A228" t="s">
        <v>258</v>
      </c>
      <c r="B228" s="1">
        <v>43303</v>
      </c>
      <c r="C228" t="s">
        <v>15</v>
      </c>
      <c r="D228" t="s">
        <v>31</v>
      </c>
      <c r="E228">
        <v>4</v>
      </c>
      <c r="F228">
        <v>40</v>
      </c>
      <c r="G228">
        <v>160</v>
      </c>
      <c r="H228">
        <v>0.09</v>
      </c>
      <c r="I228">
        <v>14.399999999999999</v>
      </c>
      <c r="J228" t="s">
        <v>25</v>
      </c>
    </row>
    <row r="229" spans="1:10" x14ac:dyDescent="0.25">
      <c r="A229" t="s">
        <v>259</v>
      </c>
      <c r="B229" s="1">
        <v>43303</v>
      </c>
      <c r="C229" t="s">
        <v>11</v>
      </c>
      <c r="D229" t="s">
        <v>16</v>
      </c>
      <c r="E229">
        <v>13</v>
      </c>
      <c r="F229">
        <v>80</v>
      </c>
      <c r="G229">
        <v>1040</v>
      </c>
      <c r="H229">
        <v>0.06</v>
      </c>
      <c r="I229">
        <v>62.4</v>
      </c>
      <c r="J229" t="s">
        <v>28</v>
      </c>
    </row>
    <row r="230" spans="1:10" x14ac:dyDescent="0.25">
      <c r="A230" t="s">
        <v>260</v>
      </c>
      <c r="B230" s="1">
        <v>43303</v>
      </c>
      <c r="C230" t="s">
        <v>34</v>
      </c>
      <c r="D230" t="s">
        <v>31</v>
      </c>
      <c r="E230">
        <v>4</v>
      </c>
      <c r="F230">
        <v>150</v>
      </c>
      <c r="G230">
        <v>600</v>
      </c>
      <c r="H230">
        <v>0.05</v>
      </c>
      <c r="I230">
        <v>30</v>
      </c>
      <c r="J230" t="s">
        <v>32</v>
      </c>
    </row>
    <row r="231" spans="1:10" x14ac:dyDescent="0.25">
      <c r="A231" t="s">
        <v>261</v>
      </c>
      <c r="B231" s="1">
        <v>43303</v>
      </c>
      <c r="C231" t="s">
        <v>19</v>
      </c>
      <c r="D231" t="s">
        <v>24</v>
      </c>
      <c r="E231">
        <v>14</v>
      </c>
      <c r="F231">
        <v>230</v>
      </c>
      <c r="G231">
        <v>3220</v>
      </c>
      <c r="H231">
        <v>0.12</v>
      </c>
      <c r="I231">
        <v>386.4</v>
      </c>
      <c r="J231" t="s">
        <v>35</v>
      </c>
    </row>
    <row r="232" spans="1:10" x14ac:dyDescent="0.25">
      <c r="A232" t="s">
        <v>262</v>
      </c>
      <c r="B232" s="1">
        <v>43303</v>
      </c>
      <c r="C232" t="s">
        <v>34</v>
      </c>
      <c r="D232" t="s">
        <v>31</v>
      </c>
      <c r="E232">
        <v>13</v>
      </c>
      <c r="F232">
        <v>150</v>
      </c>
      <c r="G232">
        <v>1950</v>
      </c>
      <c r="H232">
        <v>0.11</v>
      </c>
      <c r="I232">
        <v>214.5</v>
      </c>
      <c r="J232" t="s">
        <v>37</v>
      </c>
    </row>
    <row r="233" spans="1:10" x14ac:dyDescent="0.25">
      <c r="A233" t="s">
        <v>263</v>
      </c>
      <c r="B233" s="1">
        <v>43303</v>
      </c>
      <c r="C233" t="s">
        <v>34</v>
      </c>
      <c r="D233" t="s">
        <v>16</v>
      </c>
      <c r="E233">
        <v>16</v>
      </c>
      <c r="F233">
        <v>150</v>
      </c>
      <c r="G233">
        <v>2400</v>
      </c>
      <c r="H233">
        <v>0.03</v>
      </c>
      <c r="I233">
        <v>72</v>
      </c>
      <c r="J233" t="s">
        <v>39</v>
      </c>
    </row>
    <row r="234" spans="1:10" x14ac:dyDescent="0.25">
      <c r="A234" t="s">
        <v>264</v>
      </c>
      <c r="B234" s="1">
        <v>43303</v>
      </c>
      <c r="C234" t="s">
        <v>30</v>
      </c>
      <c r="D234" t="s">
        <v>12</v>
      </c>
      <c r="E234">
        <v>7</v>
      </c>
      <c r="F234">
        <v>16</v>
      </c>
      <c r="G234">
        <v>112</v>
      </c>
      <c r="H234">
        <v>0.12</v>
      </c>
      <c r="I234">
        <v>13.44</v>
      </c>
      <c r="J234" t="s">
        <v>41</v>
      </c>
    </row>
    <row r="235" spans="1:10" x14ac:dyDescent="0.25">
      <c r="A235" t="s">
        <v>265</v>
      </c>
      <c r="B235" s="1">
        <v>43303</v>
      </c>
      <c r="C235" t="s">
        <v>34</v>
      </c>
      <c r="D235" t="s">
        <v>27</v>
      </c>
      <c r="E235">
        <v>9</v>
      </c>
      <c r="F235">
        <v>150</v>
      </c>
      <c r="G235">
        <v>1350</v>
      </c>
      <c r="H235">
        <v>0.02</v>
      </c>
      <c r="I235">
        <v>27</v>
      </c>
      <c r="J235" t="s">
        <v>43</v>
      </c>
    </row>
    <row r="236" spans="1:10" x14ac:dyDescent="0.25">
      <c r="A236" t="s">
        <v>266</v>
      </c>
      <c r="B236" s="1">
        <v>43303</v>
      </c>
      <c r="C236" t="s">
        <v>30</v>
      </c>
      <c r="D236" t="s">
        <v>12</v>
      </c>
      <c r="E236">
        <v>10</v>
      </c>
      <c r="F236">
        <v>16</v>
      </c>
      <c r="G236">
        <v>160</v>
      </c>
      <c r="H236">
        <v>0.08</v>
      </c>
      <c r="I236">
        <v>12.8</v>
      </c>
      <c r="J236" t="s">
        <v>13</v>
      </c>
    </row>
    <row r="237" spans="1:10" x14ac:dyDescent="0.25">
      <c r="A237" t="s">
        <v>267</v>
      </c>
      <c r="B237" s="1">
        <v>43303</v>
      </c>
      <c r="C237" t="s">
        <v>11</v>
      </c>
      <c r="D237" t="s">
        <v>27</v>
      </c>
      <c r="E237">
        <v>15</v>
      </c>
      <c r="F237">
        <v>80</v>
      </c>
      <c r="G237">
        <v>1200</v>
      </c>
      <c r="H237">
        <v>0.08</v>
      </c>
      <c r="I237">
        <v>96</v>
      </c>
      <c r="J237" t="s">
        <v>17</v>
      </c>
    </row>
    <row r="238" spans="1:10" x14ac:dyDescent="0.25">
      <c r="A238" t="s">
        <v>268</v>
      </c>
      <c r="B238" s="1">
        <v>43303</v>
      </c>
      <c r="C238" t="s">
        <v>11</v>
      </c>
      <c r="D238" t="s">
        <v>31</v>
      </c>
      <c r="E238">
        <v>9</v>
      </c>
      <c r="F238">
        <v>80</v>
      </c>
      <c r="G238">
        <v>720</v>
      </c>
      <c r="H238">
        <v>0.06</v>
      </c>
      <c r="I238">
        <v>43.199999999999996</v>
      </c>
      <c r="J238" t="s">
        <v>20</v>
      </c>
    </row>
    <row r="239" spans="1:10" x14ac:dyDescent="0.25">
      <c r="A239" t="s">
        <v>269</v>
      </c>
      <c r="B239" s="1">
        <v>43304</v>
      </c>
      <c r="C239" t="s">
        <v>30</v>
      </c>
      <c r="D239" t="s">
        <v>27</v>
      </c>
      <c r="E239">
        <v>7</v>
      </c>
      <c r="F239">
        <v>16</v>
      </c>
      <c r="G239">
        <v>112</v>
      </c>
      <c r="H239">
        <v>0.08</v>
      </c>
      <c r="I239">
        <v>8.9600000000000009</v>
      </c>
      <c r="J239" t="s">
        <v>22</v>
      </c>
    </row>
    <row r="240" spans="1:10" x14ac:dyDescent="0.25">
      <c r="A240" t="s">
        <v>270</v>
      </c>
      <c r="B240" s="1">
        <v>43304</v>
      </c>
      <c r="C240" t="s">
        <v>34</v>
      </c>
      <c r="D240" t="s">
        <v>31</v>
      </c>
      <c r="E240">
        <v>7</v>
      </c>
      <c r="F240">
        <v>150</v>
      </c>
      <c r="G240">
        <v>1050</v>
      </c>
      <c r="H240">
        <v>0.03</v>
      </c>
      <c r="I240">
        <v>31.5</v>
      </c>
      <c r="J240" t="s">
        <v>25</v>
      </c>
    </row>
    <row r="241" spans="1:10" x14ac:dyDescent="0.25">
      <c r="A241" t="s">
        <v>271</v>
      </c>
      <c r="B241" s="1">
        <v>43304</v>
      </c>
      <c r="C241" t="s">
        <v>19</v>
      </c>
      <c r="D241" t="s">
        <v>27</v>
      </c>
      <c r="E241">
        <v>16</v>
      </c>
      <c r="F241">
        <v>230</v>
      </c>
      <c r="G241">
        <v>3680</v>
      </c>
      <c r="H241">
        <v>0.11</v>
      </c>
      <c r="I241">
        <v>404.8</v>
      </c>
      <c r="J241" t="s">
        <v>28</v>
      </c>
    </row>
    <row r="242" spans="1:10" x14ac:dyDescent="0.25">
      <c r="A242" t="s">
        <v>272</v>
      </c>
      <c r="B242" s="1">
        <v>43304</v>
      </c>
      <c r="C242" t="s">
        <v>30</v>
      </c>
      <c r="D242" t="s">
        <v>27</v>
      </c>
      <c r="E242">
        <v>18</v>
      </c>
      <c r="F242">
        <v>16</v>
      </c>
      <c r="G242">
        <v>288</v>
      </c>
      <c r="H242">
        <v>0.04</v>
      </c>
      <c r="I242">
        <v>11.52</v>
      </c>
      <c r="J242" t="s">
        <v>32</v>
      </c>
    </row>
    <row r="243" spans="1:10" x14ac:dyDescent="0.25">
      <c r="A243" t="s">
        <v>273</v>
      </c>
      <c r="B243" s="1">
        <v>43304</v>
      </c>
      <c r="C243" t="s">
        <v>19</v>
      </c>
      <c r="D243" t="s">
        <v>31</v>
      </c>
      <c r="E243">
        <v>20</v>
      </c>
      <c r="F243">
        <v>230</v>
      </c>
      <c r="G243">
        <v>4600</v>
      </c>
      <c r="H243">
        <v>0.11</v>
      </c>
      <c r="I243">
        <v>506</v>
      </c>
      <c r="J243" t="s">
        <v>35</v>
      </c>
    </row>
    <row r="244" spans="1:10" x14ac:dyDescent="0.25">
      <c r="A244" t="s">
        <v>274</v>
      </c>
      <c r="B244" s="1">
        <v>43304</v>
      </c>
      <c r="C244" t="s">
        <v>34</v>
      </c>
      <c r="D244" t="s">
        <v>12</v>
      </c>
      <c r="E244">
        <v>7</v>
      </c>
      <c r="F244">
        <v>150</v>
      </c>
      <c r="G244">
        <v>1050</v>
      </c>
      <c r="H244">
        <v>0.02</v>
      </c>
      <c r="I244">
        <v>21</v>
      </c>
      <c r="J244" t="s">
        <v>37</v>
      </c>
    </row>
    <row r="245" spans="1:10" x14ac:dyDescent="0.25">
      <c r="A245" t="s">
        <v>275</v>
      </c>
      <c r="B245" s="1">
        <v>43304</v>
      </c>
      <c r="C245" t="s">
        <v>30</v>
      </c>
      <c r="D245" t="s">
        <v>24</v>
      </c>
      <c r="E245">
        <v>11</v>
      </c>
      <c r="F245">
        <v>16</v>
      </c>
      <c r="G245">
        <v>176</v>
      </c>
      <c r="H245">
        <v>0.12</v>
      </c>
      <c r="I245">
        <v>21.119999999999997</v>
      </c>
      <c r="J245" t="s">
        <v>39</v>
      </c>
    </row>
    <row r="246" spans="1:10" x14ac:dyDescent="0.25">
      <c r="A246" t="s">
        <v>276</v>
      </c>
      <c r="B246" s="1">
        <v>43304</v>
      </c>
      <c r="C246" t="s">
        <v>15</v>
      </c>
      <c r="D246" t="s">
        <v>24</v>
      </c>
      <c r="E246">
        <v>12</v>
      </c>
      <c r="F246">
        <v>40</v>
      </c>
      <c r="G246">
        <v>480</v>
      </c>
      <c r="H246">
        <v>0.02</v>
      </c>
      <c r="I246">
        <v>9.6</v>
      </c>
      <c r="J246" t="s">
        <v>41</v>
      </c>
    </row>
    <row r="247" spans="1:10" x14ac:dyDescent="0.25">
      <c r="A247" t="s">
        <v>277</v>
      </c>
      <c r="B247" s="1">
        <v>43304</v>
      </c>
      <c r="C247" t="s">
        <v>34</v>
      </c>
      <c r="D247" t="s">
        <v>31</v>
      </c>
      <c r="E247">
        <v>7</v>
      </c>
      <c r="F247">
        <v>150</v>
      </c>
      <c r="G247">
        <v>1050</v>
      </c>
      <c r="H247">
        <v>0.02</v>
      </c>
      <c r="I247">
        <v>21</v>
      </c>
      <c r="J247" t="s">
        <v>43</v>
      </c>
    </row>
    <row r="248" spans="1:10" x14ac:dyDescent="0.25">
      <c r="A248" t="s">
        <v>278</v>
      </c>
      <c r="B248" s="1">
        <v>43304</v>
      </c>
      <c r="C248" t="s">
        <v>11</v>
      </c>
      <c r="D248" t="s">
        <v>24</v>
      </c>
      <c r="E248">
        <v>14</v>
      </c>
      <c r="F248">
        <v>80</v>
      </c>
      <c r="G248">
        <v>1120</v>
      </c>
      <c r="H248">
        <v>0.1</v>
      </c>
      <c r="I248">
        <v>112</v>
      </c>
      <c r="J248" t="s">
        <v>13</v>
      </c>
    </row>
    <row r="249" spans="1:10" x14ac:dyDescent="0.25">
      <c r="A249" t="s">
        <v>279</v>
      </c>
      <c r="B249" s="1">
        <v>43304</v>
      </c>
      <c r="C249" t="s">
        <v>19</v>
      </c>
      <c r="D249" t="s">
        <v>24</v>
      </c>
      <c r="E249">
        <v>12</v>
      </c>
      <c r="F249">
        <v>230</v>
      </c>
      <c r="G249">
        <v>2760</v>
      </c>
      <c r="H249">
        <v>0.06</v>
      </c>
      <c r="I249">
        <v>165.6</v>
      </c>
      <c r="J249" t="s">
        <v>17</v>
      </c>
    </row>
    <row r="250" spans="1:10" x14ac:dyDescent="0.25">
      <c r="A250" t="s">
        <v>280</v>
      </c>
      <c r="B250" s="1">
        <v>43305</v>
      </c>
      <c r="C250" t="s">
        <v>11</v>
      </c>
      <c r="D250" t="s">
        <v>16</v>
      </c>
      <c r="E250">
        <v>21</v>
      </c>
      <c r="F250">
        <v>80</v>
      </c>
      <c r="G250">
        <v>1680</v>
      </c>
      <c r="H250">
        <v>0.04</v>
      </c>
      <c r="I250">
        <v>67.2</v>
      </c>
      <c r="J250" t="s">
        <v>20</v>
      </c>
    </row>
    <row r="251" spans="1:10" x14ac:dyDescent="0.25">
      <c r="A251" t="s">
        <v>281</v>
      </c>
      <c r="B251" s="1">
        <v>43305</v>
      </c>
      <c r="C251" t="s">
        <v>34</v>
      </c>
      <c r="D251" t="s">
        <v>12</v>
      </c>
      <c r="E251">
        <v>8</v>
      </c>
      <c r="F251">
        <v>150</v>
      </c>
      <c r="G251">
        <v>1200</v>
      </c>
      <c r="H251">
        <v>0.09</v>
      </c>
      <c r="I251">
        <v>108</v>
      </c>
      <c r="J251" t="s">
        <v>22</v>
      </c>
    </row>
    <row r="252" spans="1:10" x14ac:dyDescent="0.25">
      <c r="A252" t="s">
        <v>282</v>
      </c>
      <c r="B252" s="1">
        <v>43305</v>
      </c>
      <c r="C252" t="s">
        <v>11</v>
      </c>
      <c r="D252" t="s">
        <v>16</v>
      </c>
      <c r="E252">
        <v>16</v>
      </c>
      <c r="F252">
        <v>80</v>
      </c>
      <c r="G252">
        <v>1280</v>
      </c>
      <c r="H252">
        <v>0.04</v>
      </c>
      <c r="I252">
        <v>51.2</v>
      </c>
      <c r="J252" t="s">
        <v>25</v>
      </c>
    </row>
    <row r="253" spans="1:10" x14ac:dyDescent="0.25">
      <c r="A253" t="s">
        <v>283</v>
      </c>
      <c r="B253" s="1">
        <v>43305</v>
      </c>
      <c r="C253" t="s">
        <v>19</v>
      </c>
      <c r="D253" t="s">
        <v>16</v>
      </c>
      <c r="E253">
        <v>14</v>
      </c>
      <c r="F253">
        <v>230</v>
      </c>
      <c r="G253">
        <v>3220</v>
      </c>
      <c r="H253">
        <v>0.05</v>
      </c>
      <c r="I253">
        <v>161</v>
      </c>
      <c r="J253" t="s">
        <v>28</v>
      </c>
    </row>
    <row r="254" spans="1:10" x14ac:dyDescent="0.25">
      <c r="A254" t="s">
        <v>284</v>
      </c>
      <c r="B254" s="1">
        <v>43305</v>
      </c>
      <c r="C254" t="s">
        <v>15</v>
      </c>
      <c r="D254" t="s">
        <v>24</v>
      </c>
      <c r="E254">
        <v>2</v>
      </c>
      <c r="F254">
        <v>40</v>
      </c>
      <c r="G254">
        <v>80</v>
      </c>
      <c r="H254">
        <v>0.03</v>
      </c>
      <c r="I254">
        <v>2.4</v>
      </c>
      <c r="J254" t="s">
        <v>32</v>
      </c>
    </row>
    <row r="255" spans="1:10" x14ac:dyDescent="0.25">
      <c r="A255" t="s">
        <v>285</v>
      </c>
      <c r="B255" s="1">
        <v>43305</v>
      </c>
      <c r="C255" t="s">
        <v>34</v>
      </c>
      <c r="D255" t="s">
        <v>12</v>
      </c>
      <c r="E255">
        <v>4</v>
      </c>
      <c r="F255">
        <v>150</v>
      </c>
      <c r="G255">
        <v>600</v>
      </c>
      <c r="H255">
        <v>0.1</v>
      </c>
      <c r="I255">
        <v>60</v>
      </c>
      <c r="J255" t="s">
        <v>35</v>
      </c>
    </row>
    <row r="256" spans="1:10" x14ac:dyDescent="0.25">
      <c r="A256" t="s">
        <v>286</v>
      </c>
      <c r="B256" s="1">
        <v>43305</v>
      </c>
      <c r="C256" t="s">
        <v>11</v>
      </c>
      <c r="D256" t="s">
        <v>24</v>
      </c>
      <c r="E256">
        <v>6</v>
      </c>
      <c r="F256">
        <v>80</v>
      </c>
      <c r="G256">
        <v>480</v>
      </c>
      <c r="H256">
        <v>0.01</v>
      </c>
      <c r="I256">
        <v>4.8</v>
      </c>
      <c r="J256" t="s">
        <v>37</v>
      </c>
    </row>
    <row r="257" spans="1:10" x14ac:dyDescent="0.25">
      <c r="A257" t="s">
        <v>287</v>
      </c>
      <c r="B257" s="1">
        <v>43305</v>
      </c>
      <c r="C257" t="s">
        <v>15</v>
      </c>
      <c r="D257" t="s">
        <v>24</v>
      </c>
      <c r="E257">
        <v>6</v>
      </c>
      <c r="F257">
        <v>40</v>
      </c>
      <c r="G257">
        <v>240</v>
      </c>
      <c r="H257">
        <v>0.06</v>
      </c>
      <c r="I257">
        <v>14.399999999999999</v>
      </c>
      <c r="J257" t="s">
        <v>39</v>
      </c>
    </row>
    <row r="258" spans="1:10" x14ac:dyDescent="0.25">
      <c r="A258" t="s">
        <v>288</v>
      </c>
      <c r="B258" s="1">
        <v>43305</v>
      </c>
      <c r="C258" t="s">
        <v>34</v>
      </c>
      <c r="D258" t="s">
        <v>12</v>
      </c>
      <c r="E258">
        <v>20</v>
      </c>
      <c r="F258">
        <v>150</v>
      </c>
      <c r="G258">
        <v>3000</v>
      </c>
      <c r="H258">
        <v>0.04</v>
      </c>
      <c r="I258">
        <v>120</v>
      </c>
      <c r="J258" t="s">
        <v>41</v>
      </c>
    </row>
    <row r="259" spans="1:10" x14ac:dyDescent="0.25">
      <c r="A259" t="s">
        <v>289</v>
      </c>
      <c r="B259" s="1">
        <v>43305</v>
      </c>
      <c r="C259" t="s">
        <v>15</v>
      </c>
      <c r="D259" t="s">
        <v>24</v>
      </c>
      <c r="E259">
        <v>18</v>
      </c>
      <c r="F259">
        <v>40</v>
      </c>
      <c r="G259">
        <v>720</v>
      </c>
      <c r="H259">
        <v>0.03</v>
      </c>
      <c r="I259">
        <v>21.599999999999998</v>
      </c>
      <c r="J259" t="s">
        <v>43</v>
      </c>
    </row>
    <row r="260" spans="1:10" x14ac:dyDescent="0.25">
      <c r="A260" t="s">
        <v>290</v>
      </c>
      <c r="B260" s="1">
        <v>43305</v>
      </c>
      <c r="C260" t="s">
        <v>19</v>
      </c>
      <c r="D260" t="s">
        <v>27</v>
      </c>
      <c r="E260">
        <v>18</v>
      </c>
      <c r="F260">
        <v>230</v>
      </c>
      <c r="G260">
        <v>4140</v>
      </c>
      <c r="H260">
        <v>0.01</v>
      </c>
      <c r="I260">
        <v>41.4</v>
      </c>
      <c r="J260" t="s">
        <v>13</v>
      </c>
    </row>
    <row r="261" spans="1:10" x14ac:dyDescent="0.25">
      <c r="A261" t="s">
        <v>291</v>
      </c>
      <c r="B261" s="1">
        <v>43305</v>
      </c>
      <c r="C261" t="s">
        <v>19</v>
      </c>
      <c r="D261" t="s">
        <v>24</v>
      </c>
      <c r="E261">
        <v>15</v>
      </c>
      <c r="F261">
        <v>230</v>
      </c>
      <c r="G261">
        <v>3450</v>
      </c>
      <c r="H261">
        <v>0.04</v>
      </c>
      <c r="I261">
        <v>138</v>
      </c>
      <c r="J261" t="s">
        <v>17</v>
      </c>
    </row>
    <row r="262" spans="1:10" x14ac:dyDescent="0.25">
      <c r="A262" t="s">
        <v>292</v>
      </c>
      <c r="B262" s="1">
        <v>43305</v>
      </c>
      <c r="C262" t="s">
        <v>30</v>
      </c>
      <c r="D262" t="s">
        <v>16</v>
      </c>
      <c r="E262">
        <v>22</v>
      </c>
      <c r="F262">
        <v>16</v>
      </c>
      <c r="G262">
        <v>352</v>
      </c>
      <c r="H262">
        <v>0.01</v>
      </c>
      <c r="I262">
        <v>3.52</v>
      </c>
      <c r="J262" t="s">
        <v>20</v>
      </c>
    </row>
    <row r="263" spans="1:10" x14ac:dyDescent="0.25">
      <c r="A263" t="s">
        <v>293</v>
      </c>
      <c r="B263" s="1">
        <v>43305</v>
      </c>
      <c r="C263" t="s">
        <v>34</v>
      </c>
      <c r="D263" t="s">
        <v>12</v>
      </c>
      <c r="E263">
        <v>17</v>
      </c>
      <c r="F263">
        <v>150</v>
      </c>
      <c r="G263">
        <v>2550</v>
      </c>
      <c r="H263">
        <v>0.12</v>
      </c>
      <c r="I263">
        <v>306</v>
      </c>
      <c r="J263" t="s">
        <v>22</v>
      </c>
    </row>
    <row r="264" spans="1:10" x14ac:dyDescent="0.25">
      <c r="A264" t="s">
        <v>294</v>
      </c>
      <c r="B264" s="1">
        <v>43306</v>
      </c>
      <c r="C264" t="s">
        <v>30</v>
      </c>
      <c r="D264" t="s">
        <v>16</v>
      </c>
      <c r="E264">
        <v>5</v>
      </c>
      <c r="F264">
        <v>16</v>
      </c>
      <c r="G264">
        <v>80</v>
      </c>
      <c r="H264">
        <v>0.11</v>
      </c>
      <c r="I264">
        <v>8.8000000000000007</v>
      </c>
      <c r="J264" t="s">
        <v>25</v>
      </c>
    </row>
    <row r="265" spans="1:10" x14ac:dyDescent="0.25">
      <c r="A265" t="s">
        <v>295</v>
      </c>
      <c r="B265" s="1">
        <v>43306</v>
      </c>
      <c r="C265" t="s">
        <v>34</v>
      </c>
      <c r="D265" t="s">
        <v>12</v>
      </c>
      <c r="E265">
        <v>23</v>
      </c>
      <c r="F265">
        <v>150</v>
      </c>
      <c r="G265">
        <v>3450</v>
      </c>
      <c r="H265">
        <v>0.1</v>
      </c>
      <c r="I265">
        <v>345</v>
      </c>
      <c r="J265" t="s">
        <v>28</v>
      </c>
    </row>
    <row r="266" spans="1:10" x14ac:dyDescent="0.25">
      <c r="A266" t="s">
        <v>296</v>
      </c>
      <c r="B266" s="1">
        <v>43306</v>
      </c>
      <c r="C266" t="s">
        <v>34</v>
      </c>
      <c r="D266" t="s">
        <v>27</v>
      </c>
      <c r="E266">
        <v>22</v>
      </c>
      <c r="F266">
        <v>150</v>
      </c>
      <c r="G266">
        <v>3300</v>
      </c>
      <c r="H266">
        <v>0.05</v>
      </c>
      <c r="I266">
        <v>165</v>
      </c>
      <c r="J266" t="s">
        <v>32</v>
      </c>
    </row>
    <row r="267" spans="1:10" x14ac:dyDescent="0.25">
      <c r="A267" t="s">
        <v>297</v>
      </c>
      <c r="B267" s="1">
        <v>43306</v>
      </c>
      <c r="C267" t="s">
        <v>30</v>
      </c>
      <c r="D267" t="s">
        <v>31</v>
      </c>
      <c r="E267">
        <v>15</v>
      </c>
      <c r="F267">
        <v>16</v>
      </c>
      <c r="G267">
        <v>240</v>
      </c>
      <c r="H267">
        <v>0.01</v>
      </c>
      <c r="I267">
        <v>2.4</v>
      </c>
      <c r="J267" t="s">
        <v>35</v>
      </c>
    </row>
    <row r="268" spans="1:10" x14ac:dyDescent="0.25">
      <c r="A268" t="s">
        <v>298</v>
      </c>
      <c r="B268" s="1">
        <v>43306</v>
      </c>
      <c r="C268" t="s">
        <v>15</v>
      </c>
      <c r="D268" t="s">
        <v>27</v>
      </c>
      <c r="E268">
        <v>7</v>
      </c>
      <c r="F268">
        <v>40</v>
      </c>
      <c r="G268">
        <v>280</v>
      </c>
      <c r="H268">
        <v>7.0000000000000007E-2</v>
      </c>
      <c r="I268">
        <v>19.600000000000001</v>
      </c>
      <c r="J268" t="s">
        <v>37</v>
      </c>
    </row>
    <row r="269" spans="1:10" x14ac:dyDescent="0.25">
      <c r="A269" t="s">
        <v>299</v>
      </c>
      <c r="B269" s="1">
        <v>43306</v>
      </c>
      <c r="C269" t="s">
        <v>11</v>
      </c>
      <c r="D269" t="s">
        <v>31</v>
      </c>
      <c r="E269">
        <v>22</v>
      </c>
      <c r="F269">
        <v>80</v>
      </c>
      <c r="G269">
        <v>1760</v>
      </c>
      <c r="H269">
        <v>0.11</v>
      </c>
      <c r="I269">
        <v>193.6</v>
      </c>
      <c r="J269" t="s">
        <v>39</v>
      </c>
    </row>
    <row r="270" spans="1:10" x14ac:dyDescent="0.25">
      <c r="A270" t="s">
        <v>300</v>
      </c>
      <c r="B270" s="1">
        <v>43306</v>
      </c>
      <c r="C270" t="s">
        <v>34</v>
      </c>
      <c r="D270" t="s">
        <v>24</v>
      </c>
      <c r="E270">
        <v>11</v>
      </c>
      <c r="F270">
        <v>150</v>
      </c>
      <c r="G270">
        <v>1650</v>
      </c>
      <c r="H270">
        <v>0.05</v>
      </c>
      <c r="I270">
        <v>82.5</v>
      </c>
      <c r="J270" t="s">
        <v>41</v>
      </c>
    </row>
    <row r="271" spans="1:10" x14ac:dyDescent="0.25">
      <c r="A271" t="s">
        <v>301</v>
      </c>
      <c r="B271" s="1">
        <v>43306</v>
      </c>
      <c r="C271" t="s">
        <v>15</v>
      </c>
      <c r="D271" t="s">
        <v>16</v>
      </c>
      <c r="E271">
        <v>21</v>
      </c>
      <c r="F271">
        <v>40</v>
      </c>
      <c r="G271">
        <v>840</v>
      </c>
      <c r="H271">
        <v>0.03</v>
      </c>
      <c r="I271">
        <v>25.2</v>
      </c>
      <c r="J271" t="s">
        <v>43</v>
      </c>
    </row>
    <row r="272" spans="1:10" x14ac:dyDescent="0.25">
      <c r="A272" t="s">
        <v>302</v>
      </c>
      <c r="B272" s="1">
        <v>43306</v>
      </c>
      <c r="C272" t="s">
        <v>11</v>
      </c>
      <c r="D272" t="s">
        <v>27</v>
      </c>
      <c r="E272">
        <v>23</v>
      </c>
      <c r="F272">
        <v>80</v>
      </c>
      <c r="G272">
        <v>1840</v>
      </c>
      <c r="H272">
        <v>0.11</v>
      </c>
      <c r="I272">
        <v>202.4</v>
      </c>
      <c r="J272" t="s">
        <v>13</v>
      </c>
    </row>
    <row r="273" spans="1:10" x14ac:dyDescent="0.25">
      <c r="A273" t="s">
        <v>303</v>
      </c>
      <c r="B273" s="1">
        <v>43306</v>
      </c>
      <c r="C273" t="s">
        <v>19</v>
      </c>
      <c r="D273" t="s">
        <v>24</v>
      </c>
      <c r="E273">
        <v>7</v>
      </c>
      <c r="F273">
        <v>230</v>
      </c>
      <c r="G273">
        <v>1610</v>
      </c>
      <c r="H273">
        <v>0.01</v>
      </c>
      <c r="I273">
        <v>16.100000000000001</v>
      </c>
      <c r="J273" t="s">
        <v>17</v>
      </c>
    </row>
    <row r="274" spans="1:10" x14ac:dyDescent="0.25">
      <c r="A274" t="s">
        <v>304</v>
      </c>
      <c r="B274" s="1">
        <v>43306</v>
      </c>
      <c r="C274" t="s">
        <v>19</v>
      </c>
      <c r="D274" t="s">
        <v>12</v>
      </c>
      <c r="E274">
        <v>16</v>
      </c>
      <c r="F274">
        <v>230</v>
      </c>
      <c r="G274">
        <v>3680</v>
      </c>
      <c r="H274">
        <v>7.0000000000000007E-2</v>
      </c>
      <c r="I274">
        <v>257.60000000000002</v>
      </c>
      <c r="J274" t="s">
        <v>20</v>
      </c>
    </row>
    <row r="275" spans="1:10" x14ac:dyDescent="0.25">
      <c r="A275" t="s">
        <v>305</v>
      </c>
      <c r="B275" s="1">
        <v>43306</v>
      </c>
      <c r="C275" t="s">
        <v>11</v>
      </c>
      <c r="D275" t="s">
        <v>16</v>
      </c>
      <c r="E275">
        <v>14</v>
      </c>
      <c r="F275">
        <v>80</v>
      </c>
      <c r="G275">
        <v>1120</v>
      </c>
      <c r="H275">
        <v>0.11</v>
      </c>
      <c r="I275">
        <v>123.2</v>
      </c>
      <c r="J275" t="s">
        <v>22</v>
      </c>
    </row>
    <row r="276" spans="1:10" x14ac:dyDescent="0.25">
      <c r="A276" t="s">
        <v>306</v>
      </c>
      <c r="B276" s="1">
        <v>43306</v>
      </c>
      <c r="C276" t="s">
        <v>34</v>
      </c>
      <c r="D276" t="s">
        <v>24</v>
      </c>
      <c r="E276">
        <v>22</v>
      </c>
      <c r="F276">
        <v>150</v>
      </c>
      <c r="G276">
        <v>3300</v>
      </c>
      <c r="H276">
        <v>0.09</v>
      </c>
      <c r="I276">
        <v>297</v>
      </c>
      <c r="J276" t="s">
        <v>25</v>
      </c>
    </row>
    <row r="277" spans="1:10" x14ac:dyDescent="0.25">
      <c r="A277" t="s">
        <v>307</v>
      </c>
      <c r="B277" s="1">
        <v>43306</v>
      </c>
      <c r="C277" t="s">
        <v>34</v>
      </c>
      <c r="D277" t="s">
        <v>27</v>
      </c>
      <c r="E277">
        <v>4</v>
      </c>
      <c r="F277">
        <v>150</v>
      </c>
      <c r="G277">
        <v>600</v>
      </c>
      <c r="H277">
        <v>0.12</v>
      </c>
      <c r="I277">
        <v>72</v>
      </c>
      <c r="J277" t="s">
        <v>28</v>
      </c>
    </row>
    <row r="278" spans="1:10" x14ac:dyDescent="0.25">
      <c r="A278" t="s">
        <v>308</v>
      </c>
      <c r="B278" s="1">
        <v>43306</v>
      </c>
      <c r="C278" t="s">
        <v>34</v>
      </c>
      <c r="D278" t="s">
        <v>12</v>
      </c>
      <c r="E278">
        <v>3</v>
      </c>
      <c r="F278">
        <v>150</v>
      </c>
      <c r="G278">
        <v>450</v>
      </c>
      <c r="H278">
        <v>0.03</v>
      </c>
      <c r="I278">
        <v>13.5</v>
      </c>
      <c r="J278" t="s">
        <v>32</v>
      </c>
    </row>
    <row r="279" spans="1:10" x14ac:dyDescent="0.25">
      <c r="A279" t="s">
        <v>309</v>
      </c>
      <c r="B279" s="1">
        <v>43306</v>
      </c>
      <c r="C279" t="s">
        <v>15</v>
      </c>
      <c r="D279" t="s">
        <v>31</v>
      </c>
      <c r="E279">
        <v>17</v>
      </c>
      <c r="F279">
        <v>40</v>
      </c>
      <c r="G279">
        <v>680</v>
      </c>
      <c r="H279">
        <v>0.02</v>
      </c>
      <c r="I279">
        <v>13.6</v>
      </c>
      <c r="J279" t="s">
        <v>35</v>
      </c>
    </row>
    <row r="280" spans="1:10" x14ac:dyDescent="0.25">
      <c r="A280" t="s">
        <v>310</v>
      </c>
      <c r="B280" s="1">
        <v>43306</v>
      </c>
      <c r="C280" t="s">
        <v>11</v>
      </c>
      <c r="D280" t="s">
        <v>31</v>
      </c>
      <c r="E280">
        <v>22</v>
      </c>
      <c r="F280">
        <v>80</v>
      </c>
      <c r="G280">
        <v>1760</v>
      </c>
      <c r="H280">
        <v>0.1</v>
      </c>
      <c r="I280">
        <v>176</v>
      </c>
      <c r="J280" t="s">
        <v>37</v>
      </c>
    </row>
    <row r="281" spans="1:10" x14ac:dyDescent="0.25">
      <c r="A281" t="s">
        <v>311</v>
      </c>
      <c r="B281" s="1">
        <v>43306</v>
      </c>
      <c r="C281" t="s">
        <v>34</v>
      </c>
      <c r="D281" t="s">
        <v>31</v>
      </c>
      <c r="E281">
        <v>18</v>
      </c>
      <c r="F281">
        <v>150</v>
      </c>
      <c r="G281">
        <v>2700</v>
      </c>
      <c r="H281">
        <v>0.12</v>
      </c>
      <c r="I281">
        <v>324</v>
      </c>
      <c r="J281" t="s">
        <v>39</v>
      </c>
    </row>
    <row r="282" spans="1:10" x14ac:dyDescent="0.25">
      <c r="A282" t="s">
        <v>312</v>
      </c>
      <c r="B282" s="1">
        <v>43307</v>
      </c>
      <c r="C282" t="s">
        <v>34</v>
      </c>
      <c r="D282" t="s">
        <v>12</v>
      </c>
      <c r="E282">
        <v>4</v>
      </c>
      <c r="F282">
        <v>150</v>
      </c>
      <c r="G282">
        <v>600</v>
      </c>
      <c r="H282">
        <v>0.06</v>
      </c>
      <c r="I282">
        <v>36</v>
      </c>
      <c r="J282" t="s">
        <v>13</v>
      </c>
    </row>
    <row r="283" spans="1:10" x14ac:dyDescent="0.25">
      <c r="A283" t="s">
        <v>313</v>
      </c>
      <c r="B283" s="1">
        <v>43307</v>
      </c>
      <c r="C283" t="s">
        <v>19</v>
      </c>
      <c r="D283" t="s">
        <v>16</v>
      </c>
      <c r="E283">
        <v>22</v>
      </c>
      <c r="F283">
        <v>230</v>
      </c>
      <c r="G283">
        <v>5060</v>
      </c>
      <c r="H283">
        <v>0.04</v>
      </c>
      <c r="I283">
        <v>202.4</v>
      </c>
      <c r="J283" t="s">
        <v>17</v>
      </c>
    </row>
    <row r="284" spans="1:10" x14ac:dyDescent="0.25">
      <c r="A284" t="s">
        <v>314</v>
      </c>
      <c r="B284" s="1">
        <v>43307</v>
      </c>
      <c r="C284" t="s">
        <v>34</v>
      </c>
      <c r="D284" t="s">
        <v>16</v>
      </c>
      <c r="E284">
        <v>15</v>
      </c>
      <c r="F284">
        <v>150</v>
      </c>
      <c r="G284">
        <v>2250</v>
      </c>
      <c r="H284">
        <v>0.12</v>
      </c>
      <c r="I284">
        <v>270</v>
      </c>
      <c r="J284" t="s">
        <v>20</v>
      </c>
    </row>
    <row r="285" spans="1:10" x14ac:dyDescent="0.25">
      <c r="A285" t="s">
        <v>315</v>
      </c>
      <c r="B285" s="1">
        <v>43307</v>
      </c>
      <c r="C285" t="s">
        <v>11</v>
      </c>
      <c r="D285" t="s">
        <v>12</v>
      </c>
      <c r="E285">
        <v>17</v>
      </c>
      <c r="F285">
        <v>80</v>
      </c>
      <c r="G285">
        <v>1360</v>
      </c>
      <c r="H285">
        <v>7.0000000000000007E-2</v>
      </c>
      <c r="I285">
        <v>95.2</v>
      </c>
      <c r="J285" t="s">
        <v>22</v>
      </c>
    </row>
    <row r="286" spans="1:10" x14ac:dyDescent="0.25">
      <c r="A286" t="s">
        <v>316</v>
      </c>
      <c r="B286" s="1">
        <v>43307</v>
      </c>
      <c r="C286" t="s">
        <v>15</v>
      </c>
      <c r="D286" t="s">
        <v>31</v>
      </c>
      <c r="E286">
        <v>10</v>
      </c>
      <c r="F286">
        <v>40</v>
      </c>
      <c r="G286">
        <v>400</v>
      </c>
      <c r="H286">
        <v>0.03</v>
      </c>
      <c r="I286">
        <v>12</v>
      </c>
      <c r="J286" t="s">
        <v>25</v>
      </c>
    </row>
    <row r="287" spans="1:10" x14ac:dyDescent="0.25">
      <c r="A287" t="s">
        <v>317</v>
      </c>
      <c r="B287" s="1">
        <v>43307</v>
      </c>
      <c r="C287" t="s">
        <v>15</v>
      </c>
      <c r="D287" t="s">
        <v>12</v>
      </c>
      <c r="E287">
        <v>23</v>
      </c>
      <c r="F287">
        <v>40</v>
      </c>
      <c r="G287">
        <v>920</v>
      </c>
      <c r="H287">
        <v>7.0000000000000007E-2</v>
      </c>
      <c r="I287">
        <v>64.400000000000006</v>
      </c>
      <c r="J287" t="s">
        <v>28</v>
      </c>
    </row>
    <row r="288" spans="1:10" x14ac:dyDescent="0.25">
      <c r="A288" t="s">
        <v>318</v>
      </c>
      <c r="B288" s="1">
        <v>43307</v>
      </c>
      <c r="C288" t="s">
        <v>30</v>
      </c>
      <c r="D288" t="s">
        <v>16</v>
      </c>
      <c r="E288">
        <v>22</v>
      </c>
      <c r="F288">
        <v>16</v>
      </c>
      <c r="G288">
        <v>352</v>
      </c>
      <c r="H288">
        <v>0.04</v>
      </c>
      <c r="I288">
        <v>14.08</v>
      </c>
      <c r="J288" t="s">
        <v>32</v>
      </c>
    </row>
    <row r="289" spans="1:10" x14ac:dyDescent="0.25">
      <c r="A289" t="s">
        <v>319</v>
      </c>
      <c r="B289" s="1">
        <v>43307</v>
      </c>
      <c r="C289" t="s">
        <v>11</v>
      </c>
      <c r="D289" t="s">
        <v>24</v>
      </c>
      <c r="E289">
        <v>8</v>
      </c>
      <c r="F289">
        <v>80</v>
      </c>
      <c r="G289">
        <v>640</v>
      </c>
      <c r="H289">
        <v>0.02</v>
      </c>
      <c r="I289">
        <v>12.8</v>
      </c>
      <c r="J289" t="s">
        <v>35</v>
      </c>
    </row>
    <row r="290" spans="1:10" x14ac:dyDescent="0.25">
      <c r="A290" t="s">
        <v>320</v>
      </c>
      <c r="B290" s="1">
        <v>43307</v>
      </c>
      <c r="C290" t="s">
        <v>30</v>
      </c>
      <c r="D290" t="s">
        <v>16</v>
      </c>
      <c r="E290">
        <v>4</v>
      </c>
      <c r="F290">
        <v>16</v>
      </c>
      <c r="G290">
        <v>64</v>
      </c>
      <c r="H290">
        <v>0.09</v>
      </c>
      <c r="I290">
        <v>5.76</v>
      </c>
      <c r="J290" t="s">
        <v>37</v>
      </c>
    </row>
    <row r="291" spans="1:10" x14ac:dyDescent="0.25">
      <c r="A291" t="s">
        <v>321</v>
      </c>
      <c r="B291" s="1">
        <v>43307</v>
      </c>
      <c r="C291" t="s">
        <v>15</v>
      </c>
      <c r="D291" t="s">
        <v>27</v>
      </c>
      <c r="E291">
        <v>11</v>
      </c>
      <c r="F291">
        <v>40</v>
      </c>
      <c r="G291">
        <v>440</v>
      </c>
      <c r="H291">
        <v>0.09</v>
      </c>
      <c r="I291">
        <v>39.6</v>
      </c>
      <c r="J291" t="s">
        <v>39</v>
      </c>
    </row>
    <row r="292" spans="1:10" x14ac:dyDescent="0.25">
      <c r="A292" t="s">
        <v>322</v>
      </c>
      <c r="B292" s="1">
        <v>43307</v>
      </c>
      <c r="C292" t="s">
        <v>19</v>
      </c>
      <c r="D292" t="s">
        <v>24</v>
      </c>
      <c r="E292">
        <v>18</v>
      </c>
      <c r="F292">
        <v>230</v>
      </c>
      <c r="G292">
        <v>4140</v>
      </c>
      <c r="H292">
        <v>0.01</v>
      </c>
      <c r="I292">
        <v>41.4</v>
      </c>
      <c r="J292" t="s">
        <v>41</v>
      </c>
    </row>
    <row r="293" spans="1:10" x14ac:dyDescent="0.25">
      <c r="A293" t="s">
        <v>323</v>
      </c>
      <c r="B293" s="1">
        <v>43308</v>
      </c>
      <c r="C293" t="s">
        <v>19</v>
      </c>
      <c r="D293" t="s">
        <v>16</v>
      </c>
      <c r="E293">
        <v>11</v>
      </c>
      <c r="F293">
        <v>230</v>
      </c>
      <c r="G293">
        <v>2530</v>
      </c>
      <c r="H293">
        <v>0.1</v>
      </c>
      <c r="I293">
        <v>253</v>
      </c>
      <c r="J293" t="s">
        <v>43</v>
      </c>
    </row>
    <row r="294" spans="1:10" x14ac:dyDescent="0.25">
      <c r="A294" t="s">
        <v>324</v>
      </c>
      <c r="B294" s="1">
        <v>43308</v>
      </c>
      <c r="C294" t="s">
        <v>19</v>
      </c>
      <c r="D294" t="s">
        <v>12</v>
      </c>
      <c r="E294">
        <v>15</v>
      </c>
      <c r="F294">
        <v>230</v>
      </c>
      <c r="G294">
        <v>3450</v>
      </c>
      <c r="H294">
        <v>0.05</v>
      </c>
      <c r="I294">
        <v>172.5</v>
      </c>
      <c r="J294" t="s">
        <v>13</v>
      </c>
    </row>
    <row r="295" spans="1:10" x14ac:dyDescent="0.25">
      <c r="A295" t="s">
        <v>325</v>
      </c>
      <c r="B295" s="1">
        <v>43308</v>
      </c>
      <c r="C295" t="s">
        <v>15</v>
      </c>
      <c r="D295" t="s">
        <v>31</v>
      </c>
      <c r="E295">
        <v>7</v>
      </c>
      <c r="F295">
        <v>40</v>
      </c>
      <c r="G295">
        <v>280</v>
      </c>
      <c r="H295">
        <v>0.04</v>
      </c>
      <c r="I295">
        <v>11.200000000000001</v>
      </c>
      <c r="J295" t="s">
        <v>17</v>
      </c>
    </row>
    <row r="296" spans="1:10" x14ac:dyDescent="0.25">
      <c r="A296" t="s">
        <v>326</v>
      </c>
      <c r="B296" s="1">
        <v>43308</v>
      </c>
      <c r="C296" t="s">
        <v>34</v>
      </c>
      <c r="D296" t="s">
        <v>24</v>
      </c>
      <c r="E296">
        <v>20</v>
      </c>
      <c r="F296">
        <v>150</v>
      </c>
      <c r="G296">
        <v>3000</v>
      </c>
      <c r="H296">
        <v>0.12</v>
      </c>
      <c r="I296">
        <v>360</v>
      </c>
      <c r="J296" t="s">
        <v>20</v>
      </c>
    </row>
    <row r="297" spans="1:10" x14ac:dyDescent="0.25">
      <c r="A297" t="s">
        <v>327</v>
      </c>
      <c r="B297" s="1">
        <v>43308</v>
      </c>
      <c r="C297" t="s">
        <v>11</v>
      </c>
      <c r="D297" t="s">
        <v>24</v>
      </c>
      <c r="E297">
        <v>5</v>
      </c>
      <c r="F297">
        <v>80</v>
      </c>
      <c r="G297">
        <v>400</v>
      </c>
      <c r="H297">
        <v>0.09</v>
      </c>
      <c r="I297">
        <v>36</v>
      </c>
      <c r="J297" t="s">
        <v>22</v>
      </c>
    </row>
    <row r="298" spans="1:10" x14ac:dyDescent="0.25">
      <c r="A298" t="s">
        <v>328</v>
      </c>
      <c r="B298" s="1">
        <v>43308</v>
      </c>
      <c r="C298" t="s">
        <v>11</v>
      </c>
      <c r="D298" t="s">
        <v>27</v>
      </c>
      <c r="E298">
        <v>14</v>
      </c>
      <c r="F298">
        <v>80</v>
      </c>
      <c r="G298">
        <v>1120</v>
      </c>
      <c r="H298">
        <v>0.05</v>
      </c>
      <c r="I298">
        <v>56</v>
      </c>
      <c r="J298" t="s">
        <v>25</v>
      </c>
    </row>
    <row r="299" spans="1:10" x14ac:dyDescent="0.25">
      <c r="A299" t="s">
        <v>329</v>
      </c>
      <c r="B299" s="1">
        <v>43308</v>
      </c>
      <c r="C299" t="s">
        <v>19</v>
      </c>
      <c r="D299" t="s">
        <v>27</v>
      </c>
      <c r="E299">
        <v>7</v>
      </c>
      <c r="F299">
        <v>230</v>
      </c>
      <c r="G299">
        <v>1610</v>
      </c>
      <c r="H299">
        <v>0.06</v>
      </c>
      <c r="I299">
        <v>96.6</v>
      </c>
      <c r="J299" t="s">
        <v>28</v>
      </c>
    </row>
    <row r="300" spans="1:10" x14ac:dyDescent="0.25">
      <c r="A300" t="s">
        <v>330</v>
      </c>
      <c r="B300" s="1">
        <v>43308</v>
      </c>
      <c r="C300" t="s">
        <v>15</v>
      </c>
      <c r="D300" t="s">
        <v>27</v>
      </c>
      <c r="E300">
        <v>13</v>
      </c>
      <c r="F300">
        <v>40</v>
      </c>
      <c r="G300">
        <v>520</v>
      </c>
      <c r="H300">
        <v>0.06</v>
      </c>
      <c r="I300">
        <v>31.2</v>
      </c>
      <c r="J300" t="s">
        <v>32</v>
      </c>
    </row>
    <row r="301" spans="1:10" x14ac:dyDescent="0.25">
      <c r="A301" t="s">
        <v>331</v>
      </c>
      <c r="B301" s="1">
        <v>43309</v>
      </c>
      <c r="C301" t="s">
        <v>30</v>
      </c>
      <c r="D301" t="s">
        <v>16</v>
      </c>
      <c r="E301">
        <v>15</v>
      </c>
      <c r="F301">
        <v>16</v>
      </c>
      <c r="G301">
        <v>240</v>
      </c>
      <c r="H301">
        <v>0.02</v>
      </c>
      <c r="I301">
        <v>4.8</v>
      </c>
      <c r="J301" t="s">
        <v>35</v>
      </c>
    </row>
    <row r="302" spans="1:10" x14ac:dyDescent="0.25">
      <c r="A302" t="s">
        <v>332</v>
      </c>
      <c r="B302" s="1">
        <v>43309</v>
      </c>
      <c r="C302" t="s">
        <v>30</v>
      </c>
      <c r="D302" t="s">
        <v>27</v>
      </c>
      <c r="E302">
        <v>5</v>
      </c>
      <c r="F302">
        <v>16</v>
      </c>
      <c r="G302">
        <v>80</v>
      </c>
      <c r="H302">
        <v>0.09</v>
      </c>
      <c r="I302">
        <v>7.1999999999999993</v>
      </c>
      <c r="J302" t="s">
        <v>37</v>
      </c>
    </row>
    <row r="303" spans="1:10" x14ac:dyDescent="0.25">
      <c r="A303" t="s">
        <v>333</v>
      </c>
      <c r="B303" s="1">
        <v>43309</v>
      </c>
      <c r="C303" t="s">
        <v>30</v>
      </c>
      <c r="D303" t="s">
        <v>12</v>
      </c>
      <c r="E303">
        <v>22</v>
      </c>
      <c r="F303">
        <v>16</v>
      </c>
      <c r="G303">
        <v>352</v>
      </c>
      <c r="H303">
        <v>0.06</v>
      </c>
      <c r="I303">
        <v>21.119999999999997</v>
      </c>
      <c r="J303" t="s">
        <v>39</v>
      </c>
    </row>
    <row r="304" spans="1:10" x14ac:dyDescent="0.25">
      <c r="A304" t="s">
        <v>334</v>
      </c>
      <c r="B304" s="1">
        <v>43309</v>
      </c>
      <c r="C304" t="s">
        <v>34</v>
      </c>
      <c r="D304" t="s">
        <v>24</v>
      </c>
      <c r="E304">
        <v>15</v>
      </c>
      <c r="F304">
        <v>150</v>
      </c>
      <c r="G304">
        <v>2250</v>
      </c>
      <c r="H304">
        <v>0.05</v>
      </c>
      <c r="I304">
        <v>112.5</v>
      </c>
      <c r="J304" t="s">
        <v>41</v>
      </c>
    </row>
    <row r="305" spans="1:10" x14ac:dyDescent="0.25">
      <c r="A305" t="s">
        <v>335</v>
      </c>
      <c r="B305" s="1">
        <v>43309</v>
      </c>
      <c r="C305" t="s">
        <v>19</v>
      </c>
      <c r="D305" t="s">
        <v>24</v>
      </c>
      <c r="E305">
        <v>5</v>
      </c>
      <c r="F305">
        <v>230</v>
      </c>
      <c r="G305">
        <v>1150</v>
      </c>
      <c r="H305">
        <v>0.01</v>
      </c>
      <c r="I305">
        <v>11.5</v>
      </c>
      <c r="J305" t="s">
        <v>43</v>
      </c>
    </row>
    <row r="306" spans="1:10" x14ac:dyDescent="0.25">
      <c r="A306" t="s">
        <v>336</v>
      </c>
      <c r="B306" s="1">
        <v>43309</v>
      </c>
      <c r="C306" t="s">
        <v>15</v>
      </c>
      <c r="D306" t="s">
        <v>12</v>
      </c>
      <c r="E306">
        <v>11</v>
      </c>
      <c r="F306">
        <v>40</v>
      </c>
      <c r="G306">
        <v>440</v>
      </c>
      <c r="H306">
        <v>0.04</v>
      </c>
      <c r="I306">
        <v>17.600000000000001</v>
      </c>
      <c r="J306" t="s">
        <v>13</v>
      </c>
    </row>
    <row r="307" spans="1:10" x14ac:dyDescent="0.25">
      <c r="A307" t="s">
        <v>337</v>
      </c>
      <c r="B307" s="1">
        <v>43309</v>
      </c>
      <c r="C307" t="s">
        <v>34</v>
      </c>
      <c r="D307" t="s">
        <v>16</v>
      </c>
      <c r="E307">
        <v>13</v>
      </c>
      <c r="F307">
        <v>150</v>
      </c>
      <c r="G307">
        <v>1950</v>
      </c>
      <c r="H307">
        <v>0.08</v>
      </c>
      <c r="I307">
        <v>156</v>
      </c>
      <c r="J307" t="s">
        <v>17</v>
      </c>
    </row>
    <row r="308" spans="1:10" x14ac:dyDescent="0.25">
      <c r="A308" t="s">
        <v>338</v>
      </c>
      <c r="B308" s="1">
        <v>43309</v>
      </c>
      <c r="C308" t="s">
        <v>30</v>
      </c>
      <c r="D308" t="s">
        <v>31</v>
      </c>
      <c r="E308">
        <v>13</v>
      </c>
      <c r="F308">
        <v>16</v>
      </c>
      <c r="G308">
        <v>208</v>
      </c>
      <c r="H308">
        <v>7.0000000000000007E-2</v>
      </c>
      <c r="I308">
        <v>14.560000000000002</v>
      </c>
      <c r="J308" t="s">
        <v>20</v>
      </c>
    </row>
    <row r="309" spans="1:10" x14ac:dyDescent="0.25">
      <c r="A309" t="s">
        <v>339</v>
      </c>
      <c r="B309" s="1">
        <v>43309</v>
      </c>
      <c r="C309" t="s">
        <v>30</v>
      </c>
      <c r="D309" t="s">
        <v>31</v>
      </c>
      <c r="E309">
        <v>3</v>
      </c>
      <c r="F309">
        <v>16</v>
      </c>
      <c r="G309">
        <v>48</v>
      </c>
      <c r="H309">
        <v>0.03</v>
      </c>
      <c r="I309">
        <v>1.44</v>
      </c>
      <c r="J309" t="s">
        <v>22</v>
      </c>
    </row>
    <row r="310" spans="1:10" x14ac:dyDescent="0.25">
      <c r="A310" t="s">
        <v>340</v>
      </c>
      <c r="B310" s="1">
        <v>43310</v>
      </c>
      <c r="C310" t="s">
        <v>34</v>
      </c>
      <c r="D310" t="s">
        <v>16</v>
      </c>
      <c r="E310">
        <v>2</v>
      </c>
      <c r="F310">
        <v>150</v>
      </c>
      <c r="G310">
        <v>300</v>
      </c>
      <c r="H310">
        <v>0.09</v>
      </c>
      <c r="I310">
        <v>27</v>
      </c>
      <c r="J310" t="s">
        <v>25</v>
      </c>
    </row>
    <row r="311" spans="1:10" x14ac:dyDescent="0.25">
      <c r="A311" t="s">
        <v>341</v>
      </c>
      <c r="B311" s="1">
        <v>43310</v>
      </c>
      <c r="C311" t="s">
        <v>19</v>
      </c>
      <c r="D311" t="s">
        <v>24</v>
      </c>
      <c r="E311">
        <v>14</v>
      </c>
      <c r="F311">
        <v>230</v>
      </c>
      <c r="G311">
        <v>3220</v>
      </c>
      <c r="H311">
        <v>0.03</v>
      </c>
      <c r="I311">
        <v>96.6</v>
      </c>
      <c r="J311" t="s">
        <v>28</v>
      </c>
    </row>
    <row r="312" spans="1:10" x14ac:dyDescent="0.25">
      <c r="A312" t="s">
        <v>342</v>
      </c>
      <c r="B312" s="1">
        <v>43310</v>
      </c>
      <c r="C312" t="s">
        <v>15</v>
      </c>
      <c r="D312" t="s">
        <v>24</v>
      </c>
      <c r="E312">
        <v>11</v>
      </c>
      <c r="F312">
        <v>40</v>
      </c>
      <c r="G312">
        <v>440</v>
      </c>
      <c r="H312">
        <v>0.12</v>
      </c>
      <c r="I312">
        <v>52.8</v>
      </c>
      <c r="J312" t="s">
        <v>32</v>
      </c>
    </row>
    <row r="313" spans="1:10" x14ac:dyDescent="0.25">
      <c r="A313" t="s">
        <v>343</v>
      </c>
      <c r="B313" s="1">
        <v>43310</v>
      </c>
      <c r="C313" t="s">
        <v>30</v>
      </c>
      <c r="D313" t="s">
        <v>31</v>
      </c>
      <c r="E313">
        <v>3</v>
      </c>
      <c r="F313">
        <v>16</v>
      </c>
      <c r="G313">
        <v>48</v>
      </c>
      <c r="H313">
        <v>0.06</v>
      </c>
      <c r="I313">
        <v>2.88</v>
      </c>
      <c r="J313" t="s">
        <v>35</v>
      </c>
    </row>
    <row r="314" spans="1:10" x14ac:dyDescent="0.25">
      <c r="A314" t="s">
        <v>344</v>
      </c>
      <c r="B314" s="1">
        <v>43310</v>
      </c>
      <c r="C314" t="s">
        <v>15</v>
      </c>
      <c r="D314" t="s">
        <v>31</v>
      </c>
      <c r="E314">
        <v>18</v>
      </c>
      <c r="F314">
        <v>40</v>
      </c>
      <c r="G314">
        <v>720</v>
      </c>
      <c r="H314">
        <v>0.06</v>
      </c>
      <c r="I314">
        <v>43.199999999999996</v>
      </c>
      <c r="J314" t="s">
        <v>37</v>
      </c>
    </row>
    <row r="315" spans="1:10" x14ac:dyDescent="0.25">
      <c r="A315" t="s">
        <v>345</v>
      </c>
      <c r="B315" s="1">
        <v>43310</v>
      </c>
      <c r="C315" t="s">
        <v>19</v>
      </c>
      <c r="D315" t="s">
        <v>31</v>
      </c>
      <c r="E315">
        <v>7</v>
      </c>
      <c r="F315">
        <v>230</v>
      </c>
      <c r="G315">
        <v>1610</v>
      </c>
      <c r="H315">
        <v>0.05</v>
      </c>
      <c r="I315">
        <v>80.5</v>
      </c>
      <c r="J315" t="s">
        <v>39</v>
      </c>
    </row>
    <row r="316" spans="1:10" x14ac:dyDescent="0.25">
      <c r="A316" t="s">
        <v>346</v>
      </c>
      <c r="B316" s="1">
        <v>43310</v>
      </c>
      <c r="C316" t="s">
        <v>15</v>
      </c>
      <c r="D316" t="s">
        <v>31</v>
      </c>
      <c r="E316">
        <v>23</v>
      </c>
      <c r="F316">
        <v>40</v>
      </c>
      <c r="G316">
        <v>920</v>
      </c>
      <c r="H316">
        <v>0.05</v>
      </c>
      <c r="I316">
        <v>46</v>
      </c>
      <c r="J316" t="s">
        <v>41</v>
      </c>
    </row>
    <row r="317" spans="1:10" x14ac:dyDescent="0.25">
      <c r="A317" t="s">
        <v>347</v>
      </c>
      <c r="B317" s="1">
        <v>43311</v>
      </c>
      <c r="C317" t="s">
        <v>19</v>
      </c>
      <c r="D317" t="s">
        <v>31</v>
      </c>
      <c r="E317">
        <v>2</v>
      </c>
      <c r="F317">
        <v>230</v>
      </c>
      <c r="G317">
        <v>460</v>
      </c>
      <c r="H317">
        <v>0.08</v>
      </c>
      <c r="I317">
        <v>36.800000000000004</v>
      </c>
      <c r="J317" t="s">
        <v>43</v>
      </c>
    </row>
    <row r="318" spans="1:10" x14ac:dyDescent="0.25">
      <c r="A318" t="s">
        <v>348</v>
      </c>
      <c r="B318" s="1">
        <v>43311</v>
      </c>
      <c r="C318" t="s">
        <v>15</v>
      </c>
      <c r="D318" t="s">
        <v>27</v>
      </c>
      <c r="E318">
        <v>18</v>
      </c>
      <c r="F318">
        <v>40</v>
      </c>
      <c r="G318">
        <v>720</v>
      </c>
      <c r="H318">
        <v>0.04</v>
      </c>
      <c r="I318">
        <v>28.8</v>
      </c>
      <c r="J318" t="s">
        <v>13</v>
      </c>
    </row>
    <row r="319" spans="1:10" x14ac:dyDescent="0.25">
      <c r="A319" t="s">
        <v>349</v>
      </c>
      <c r="B319" s="1">
        <v>43311</v>
      </c>
      <c r="C319" t="s">
        <v>19</v>
      </c>
      <c r="D319" t="s">
        <v>16</v>
      </c>
      <c r="E319">
        <v>7</v>
      </c>
      <c r="F319">
        <v>230</v>
      </c>
      <c r="G319">
        <v>1610</v>
      </c>
      <c r="H319">
        <v>0.05</v>
      </c>
      <c r="I319">
        <v>80.5</v>
      </c>
      <c r="J319" t="s">
        <v>17</v>
      </c>
    </row>
    <row r="320" spans="1:10" x14ac:dyDescent="0.25">
      <c r="A320" t="s">
        <v>350</v>
      </c>
      <c r="B320" s="1">
        <v>43311</v>
      </c>
      <c r="C320" t="s">
        <v>15</v>
      </c>
      <c r="D320" t="s">
        <v>31</v>
      </c>
      <c r="E320">
        <v>14</v>
      </c>
      <c r="F320">
        <v>40</v>
      </c>
      <c r="G320">
        <v>560</v>
      </c>
      <c r="H320">
        <v>0.11</v>
      </c>
      <c r="I320">
        <v>61.6</v>
      </c>
      <c r="J320" t="s">
        <v>20</v>
      </c>
    </row>
    <row r="321" spans="1:10" x14ac:dyDescent="0.25">
      <c r="A321" t="s">
        <v>351</v>
      </c>
      <c r="B321" s="1">
        <v>43311</v>
      </c>
      <c r="C321" t="s">
        <v>34</v>
      </c>
      <c r="D321" t="s">
        <v>16</v>
      </c>
      <c r="E321">
        <v>13</v>
      </c>
      <c r="F321">
        <v>150</v>
      </c>
      <c r="G321">
        <v>1950</v>
      </c>
      <c r="H321">
        <v>0.02</v>
      </c>
      <c r="I321">
        <v>39</v>
      </c>
      <c r="J321" t="s">
        <v>22</v>
      </c>
    </row>
    <row r="322" spans="1:10" x14ac:dyDescent="0.25">
      <c r="A322" t="s">
        <v>352</v>
      </c>
      <c r="B322" s="1">
        <v>43311</v>
      </c>
      <c r="C322" t="s">
        <v>11</v>
      </c>
      <c r="D322" t="s">
        <v>12</v>
      </c>
      <c r="E322">
        <v>12</v>
      </c>
      <c r="F322">
        <v>80</v>
      </c>
      <c r="G322">
        <v>960</v>
      </c>
      <c r="H322">
        <v>0.04</v>
      </c>
      <c r="I322">
        <v>38.4</v>
      </c>
      <c r="J322" t="s">
        <v>25</v>
      </c>
    </row>
    <row r="323" spans="1:10" x14ac:dyDescent="0.25">
      <c r="A323" t="s">
        <v>353</v>
      </c>
      <c r="B323" s="1">
        <v>43311</v>
      </c>
      <c r="C323" t="s">
        <v>19</v>
      </c>
      <c r="D323" t="s">
        <v>31</v>
      </c>
      <c r="E323">
        <v>20</v>
      </c>
      <c r="F323">
        <v>230</v>
      </c>
      <c r="G323">
        <v>4600</v>
      </c>
      <c r="H323">
        <v>0.09</v>
      </c>
      <c r="I323">
        <v>414</v>
      </c>
      <c r="J323" t="s">
        <v>28</v>
      </c>
    </row>
    <row r="324" spans="1:10" x14ac:dyDescent="0.25">
      <c r="A324" t="s">
        <v>354</v>
      </c>
      <c r="B324" s="1">
        <v>43311</v>
      </c>
      <c r="C324" t="s">
        <v>15</v>
      </c>
      <c r="D324" t="s">
        <v>31</v>
      </c>
      <c r="E324">
        <v>5</v>
      </c>
      <c r="F324">
        <v>40</v>
      </c>
      <c r="G324">
        <v>200</v>
      </c>
      <c r="H324">
        <v>0.03</v>
      </c>
      <c r="I324">
        <v>6</v>
      </c>
      <c r="J324" t="s">
        <v>32</v>
      </c>
    </row>
    <row r="325" spans="1:10" x14ac:dyDescent="0.25">
      <c r="A325" t="s">
        <v>355</v>
      </c>
      <c r="B325" s="1">
        <v>43311</v>
      </c>
      <c r="C325" t="s">
        <v>30</v>
      </c>
      <c r="D325" t="s">
        <v>31</v>
      </c>
      <c r="E325">
        <v>2</v>
      </c>
      <c r="F325">
        <v>16</v>
      </c>
      <c r="G325">
        <v>32</v>
      </c>
      <c r="H325">
        <v>0.04</v>
      </c>
      <c r="I325">
        <v>1.28</v>
      </c>
      <c r="J325" t="s">
        <v>35</v>
      </c>
    </row>
    <row r="326" spans="1:10" x14ac:dyDescent="0.25">
      <c r="A326" t="s">
        <v>356</v>
      </c>
      <c r="B326" s="1">
        <v>43282</v>
      </c>
      <c r="C326" t="s">
        <v>11</v>
      </c>
      <c r="D326" t="s">
        <v>24</v>
      </c>
      <c r="E326">
        <v>10</v>
      </c>
      <c r="F326">
        <v>80</v>
      </c>
      <c r="G326">
        <v>800</v>
      </c>
      <c r="H326">
        <v>0.08</v>
      </c>
      <c r="I326">
        <v>64</v>
      </c>
      <c r="J326" t="s">
        <v>37</v>
      </c>
    </row>
    <row r="327" spans="1:10" x14ac:dyDescent="0.25">
      <c r="A327" t="s">
        <v>357</v>
      </c>
      <c r="B327" s="1">
        <v>43282</v>
      </c>
      <c r="C327" t="s">
        <v>15</v>
      </c>
      <c r="D327" t="s">
        <v>27</v>
      </c>
      <c r="E327">
        <v>18</v>
      </c>
      <c r="F327">
        <v>40</v>
      </c>
      <c r="G327">
        <v>720</v>
      </c>
      <c r="H327">
        <v>0.06</v>
      </c>
      <c r="I327">
        <v>43.199999999999996</v>
      </c>
      <c r="J327" t="s">
        <v>39</v>
      </c>
    </row>
    <row r="328" spans="1:10" x14ac:dyDescent="0.25">
      <c r="A328" t="s">
        <v>358</v>
      </c>
      <c r="B328" s="1">
        <v>43282</v>
      </c>
      <c r="C328" t="s">
        <v>19</v>
      </c>
      <c r="D328" t="s">
        <v>16</v>
      </c>
      <c r="E328">
        <v>7</v>
      </c>
      <c r="F328">
        <v>230</v>
      </c>
      <c r="G328">
        <v>1610</v>
      </c>
      <c r="H328">
        <v>0.08</v>
      </c>
      <c r="I328">
        <v>128.80000000000001</v>
      </c>
      <c r="J328" t="s">
        <v>41</v>
      </c>
    </row>
    <row r="329" spans="1:10" x14ac:dyDescent="0.25">
      <c r="A329" t="s">
        <v>359</v>
      </c>
      <c r="B329" s="1">
        <v>43282</v>
      </c>
      <c r="C329" t="s">
        <v>15</v>
      </c>
      <c r="D329" t="s">
        <v>27</v>
      </c>
      <c r="E329">
        <v>15</v>
      </c>
      <c r="F329">
        <v>40</v>
      </c>
      <c r="G329">
        <v>600</v>
      </c>
      <c r="H329">
        <v>0.03</v>
      </c>
      <c r="I329">
        <v>18</v>
      </c>
      <c r="J329" t="s">
        <v>43</v>
      </c>
    </row>
    <row r="330" spans="1:10" x14ac:dyDescent="0.25">
      <c r="A330" t="s">
        <v>360</v>
      </c>
      <c r="B330" s="1">
        <v>43282</v>
      </c>
      <c r="C330" t="s">
        <v>30</v>
      </c>
      <c r="D330" t="s">
        <v>24</v>
      </c>
      <c r="E330">
        <v>6</v>
      </c>
      <c r="F330">
        <v>16</v>
      </c>
      <c r="G330">
        <v>96</v>
      </c>
      <c r="H330">
        <v>0.01</v>
      </c>
      <c r="I330">
        <v>0.96</v>
      </c>
      <c r="J330" t="s">
        <v>13</v>
      </c>
    </row>
    <row r="331" spans="1:10" x14ac:dyDescent="0.25">
      <c r="A331" t="s">
        <v>361</v>
      </c>
      <c r="B331" s="1">
        <v>43282</v>
      </c>
      <c r="C331" t="s">
        <v>34</v>
      </c>
      <c r="D331" t="s">
        <v>27</v>
      </c>
      <c r="E331">
        <v>9</v>
      </c>
      <c r="F331">
        <v>150</v>
      </c>
      <c r="G331">
        <v>1350</v>
      </c>
      <c r="H331">
        <v>0.02</v>
      </c>
      <c r="I331">
        <v>27</v>
      </c>
      <c r="J331" t="s">
        <v>17</v>
      </c>
    </row>
    <row r="332" spans="1:10" x14ac:dyDescent="0.25">
      <c r="A332" t="s">
        <v>362</v>
      </c>
      <c r="B332" s="1">
        <v>43282</v>
      </c>
      <c r="C332" t="s">
        <v>30</v>
      </c>
      <c r="D332" t="s">
        <v>31</v>
      </c>
      <c r="E332">
        <v>15</v>
      </c>
      <c r="F332">
        <v>16</v>
      </c>
      <c r="G332">
        <v>240</v>
      </c>
      <c r="H332">
        <v>0.01</v>
      </c>
      <c r="I332">
        <v>2.4</v>
      </c>
      <c r="J332" t="s">
        <v>20</v>
      </c>
    </row>
    <row r="333" spans="1:10" x14ac:dyDescent="0.25">
      <c r="A333" t="s">
        <v>363</v>
      </c>
      <c r="B333" s="1">
        <v>43282</v>
      </c>
      <c r="C333" t="s">
        <v>11</v>
      </c>
      <c r="D333" t="s">
        <v>31</v>
      </c>
      <c r="E333">
        <v>22</v>
      </c>
      <c r="F333">
        <v>80</v>
      </c>
      <c r="G333">
        <v>1760</v>
      </c>
      <c r="H333">
        <v>0.11</v>
      </c>
      <c r="I333">
        <v>193.6</v>
      </c>
      <c r="J333" t="s">
        <v>22</v>
      </c>
    </row>
    <row r="334" spans="1:10" x14ac:dyDescent="0.25">
      <c r="A334" t="s">
        <v>364</v>
      </c>
      <c r="B334" s="1">
        <v>43282</v>
      </c>
      <c r="C334" t="s">
        <v>34</v>
      </c>
      <c r="D334" t="s">
        <v>16</v>
      </c>
      <c r="E334">
        <v>13</v>
      </c>
      <c r="F334">
        <v>150</v>
      </c>
      <c r="G334">
        <v>1950</v>
      </c>
      <c r="H334">
        <v>0.02</v>
      </c>
      <c r="I334">
        <v>39</v>
      </c>
      <c r="J334" t="s">
        <v>25</v>
      </c>
    </row>
    <row r="335" spans="1:10" x14ac:dyDescent="0.25">
      <c r="A335" t="s">
        <v>365</v>
      </c>
      <c r="B335" s="1">
        <v>43283</v>
      </c>
      <c r="C335" t="s">
        <v>30</v>
      </c>
      <c r="D335" t="s">
        <v>24</v>
      </c>
      <c r="E335">
        <v>12</v>
      </c>
      <c r="F335">
        <v>16</v>
      </c>
      <c r="G335">
        <v>192</v>
      </c>
      <c r="H335">
        <v>0.03</v>
      </c>
      <c r="I335">
        <v>5.76</v>
      </c>
      <c r="J335" t="s">
        <v>28</v>
      </c>
    </row>
    <row r="336" spans="1:10" x14ac:dyDescent="0.25">
      <c r="A336" t="s">
        <v>366</v>
      </c>
      <c r="B336" s="1">
        <v>43283</v>
      </c>
      <c r="C336" t="s">
        <v>15</v>
      </c>
      <c r="D336" t="s">
        <v>27</v>
      </c>
      <c r="E336">
        <v>4</v>
      </c>
      <c r="F336">
        <v>40</v>
      </c>
      <c r="G336">
        <v>160</v>
      </c>
      <c r="H336">
        <v>0.05</v>
      </c>
      <c r="I336">
        <v>8</v>
      </c>
      <c r="J336" t="s">
        <v>32</v>
      </c>
    </row>
    <row r="337" spans="1:10" x14ac:dyDescent="0.25">
      <c r="A337" t="s">
        <v>367</v>
      </c>
      <c r="B337" s="1">
        <v>43283</v>
      </c>
      <c r="C337" t="s">
        <v>19</v>
      </c>
      <c r="D337" t="s">
        <v>16</v>
      </c>
      <c r="E337">
        <v>19</v>
      </c>
      <c r="F337">
        <v>230</v>
      </c>
      <c r="G337">
        <v>4370</v>
      </c>
      <c r="H337">
        <v>0.11</v>
      </c>
      <c r="I337">
        <v>480.7</v>
      </c>
      <c r="J337" t="s">
        <v>35</v>
      </c>
    </row>
    <row r="338" spans="1:10" x14ac:dyDescent="0.25">
      <c r="A338" t="s">
        <v>368</v>
      </c>
      <c r="B338" s="1">
        <v>43283</v>
      </c>
      <c r="C338" t="s">
        <v>15</v>
      </c>
      <c r="D338" t="s">
        <v>16</v>
      </c>
      <c r="E338">
        <v>4</v>
      </c>
      <c r="F338">
        <v>40</v>
      </c>
      <c r="G338">
        <v>160</v>
      </c>
      <c r="H338">
        <v>0.06</v>
      </c>
      <c r="I338">
        <v>9.6</v>
      </c>
      <c r="J338" t="s">
        <v>37</v>
      </c>
    </row>
    <row r="339" spans="1:10" x14ac:dyDescent="0.25">
      <c r="A339" t="s">
        <v>369</v>
      </c>
      <c r="B339" s="1">
        <v>43283</v>
      </c>
      <c r="C339" t="s">
        <v>30</v>
      </c>
      <c r="D339" t="s">
        <v>24</v>
      </c>
      <c r="E339">
        <v>6</v>
      </c>
      <c r="F339">
        <v>16</v>
      </c>
      <c r="G339">
        <v>96</v>
      </c>
      <c r="H339">
        <v>7.0000000000000007E-2</v>
      </c>
      <c r="I339">
        <v>6.7200000000000006</v>
      </c>
      <c r="J339" t="s">
        <v>39</v>
      </c>
    </row>
    <row r="340" spans="1:10" x14ac:dyDescent="0.25">
      <c r="A340" t="s">
        <v>370</v>
      </c>
      <c r="B340" s="1">
        <v>43283</v>
      </c>
      <c r="C340" t="s">
        <v>19</v>
      </c>
      <c r="D340" t="s">
        <v>24</v>
      </c>
      <c r="E340">
        <v>15</v>
      </c>
      <c r="F340">
        <v>230</v>
      </c>
      <c r="G340">
        <v>3450</v>
      </c>
      <c r="H340">
        <v>0.11</v>
      </c>
      <c r="I340">
        <v>379.5</v>
      </c>
      <c r="J340" t="s">
        <v>41</v>
      </c>
    </row>
    <row r="341" spans="1:10" x14ac:dyDescent="0.25">
      <c r="A341" t="s">
        <v>371</v>
      </c>
      <c r="B341" s="1">
        <v>43283</v>
      </c>
      <c r="C341" t="s">
        <v>11</v>
      </c>
      <c r="D341" t="s">
        <v>24</v>
      </c>
      <c r="E341">
        <v>16</v>
      </c>
      <c r="F341">
        <v>80</v>
      </c>
      <c r="G341">
        <v>1280</v>
      </c>
      <c r="H341">
        <v>0.04</v>
      </c>
      <c r="I341">
        <v>51.2</v>
      </c>
      <c r="J341" t="s">
        <v>43</v>
      </c>
    </row>
    <row r="342" spans="1:10" x14ac:dyDescent="0.25">
      <c r="A342" t="s">
        <v>372</v>
      </c>
      <c r="B342" s="1">
        <v>43283</v>
      </c>
      <c r="C342" t="s">
        <v>15</v>
      </c>
      <c r="D342" t="s">
        <v>12</v>
      </c>
      <c r="E342">
        <v>7</v>
      </c>
      <c r="F342">
        <v>40</v>
      </c>
      <c r="G342">
        <v>280</v>
      </c>
      <c r="H342">
        <v>0.1</v>
      </c>
      <c r="I342">
        <v>28</v>
      </c>
      <c r="J342" t="s">
        <v>13</v>
      </c>
    </row>
    <row r="343" spans="1:10" x14ac:dyDescent="0.25">
      <c r="A343" t="s">
        <v>373</v>
      </c>
      <c r="B343" s="1">
        <v>43283</v>
      </c>
      <c r="C343" t="s">
        <v>15</v>
      </c>
      <c r="D343" t="s">
        <v>24</v>
      </c>
      <c r="E343">
        <v>11</v>
      </c>
      <c r="F343">
        <v>40</v>
      </c>
      <c r="G343">
        <v>440</v>
      </c>
      <c r="H343">
        <v>0.05</v>
      </c>
      <c r="I343">
        <v>22</v>
      </c>
      <c r="J343" t="s">
        <v>17</v>
      </c>
    </row>
    <row r="344" spans="1:10" x14ac:dyDescent="0.25">
      <c r="A344" t="s">
        <v>374</v>
      </c>
      <c r="B344" s="1">
        <v>43283</v>
      </c>
      <c r="C344" t="s">
        <v>11</v>
      </c>
      <c r="D344" t="s">
        <v>31</v>
      </c>
      <c r="E344">
        <v>9</v>
      </c>
      <c r="F344">
        <v>80</v>
      </c>
      <c r="G344">
        <v>720</v>
      </c>
      <c r="H344">
        <v>0.06</v>
      </c>
      <c r="I344">
        <v>43.199999999999996</v>
      </c>
      <c r="J344" t="s">
        <v>20</v>
      </c>
    </row>
    <row r="345" spans="1:10" x14ac:dyDescent="0.25">
      <c r="A345" t="s">
        <v>375</v>
      </c>
      <c r="B345" s="1">
        <v>43283</v>
      </c>
      <c r="C345" t="s">
        <v>11</v>
      </c>
      <c r="D345" t="s">
        <v>16</v>
      </c>
      <c r="E345">
        <v>21</v>
      </c>
      <c r="F345">
        <v>80</v>
      </c>
      <c r="G345">
        <v>1680</v>
      </c>
      <c r="H345">
        <v>0.04</v>
      </c>
      <c r="I345">
        <v>67.2</v>
      </c>
      <c r="J345" t="s">
        <v>22</v>
      </c>
    </row>
    <row r="346" spans="1:10" x14ac:dyDescent="0.25">
      <c r="A346" t="s">
        <v>376</v>
      </c>
      <c r="B346" s="1">
        <v>43283</v>
      </c>
      <c r="C346" t="s">
        <v>15</v>
      </c>
      <c r="D346" t="s">
        <v>24</v>
      </c>
      <c r="E346">
        <v>2</v>
      </c>
      <c r="F346">
        <v>40</v>
      </c>
      <c r="G346">
        <v>80</v>
      </c>
      <c r="H346">
        <v>0.03</v>
      </c>
      <c r="I346">
        <v>2.4</v>
      </c>
      <c r="J346" t="s">
        <v>25</v>
      </c>
    </row>
    <row r="347" spans="1:10" x14ac:dyDescent="0.25">
      <c r="A347" t="s">
        <v>377</v>
      </c>
      <c r="B347" s="1">
        <v>43284</v>
      </c>
      <c r="C347" t="s">
        <v>30</v>
      </c>
      <c r="D347" t="s">
        <v>24</v>
      </c>
      <c r="E347">
        <v>17</v>
      </c>
      <c r="F347">
        <v>16</v>
      </c>
      <c r="G347">
        <v>272</v>
      </c>
      <c r="H347">
        <v>0.05</v>
      </c>
      <c r="I347">
        <v>13.600000000000001</v>
      </c>
      <c r="J347" t="s">
        <v>28</v>
      </c>
    </row>
    <row r="348" spans="1:10" x14ac:dyDescent="0.25">
      <c r="A348" t="s">
        <v>378</v>
      </c>
      <c r="B348" s="1">
        <v>43284</v>
      </c>
      <c r="C348" t="s">
        <v>15</v>
      </c>
      <c r="D348" t="s">
        <v>12</v>
      </c>
      <c r="E348">
        <v>18</v>
      </c>
      <c r="F348">
        <v>40</v>
      </c>
      <c r="G348">
        <v>720</v>
      </c>
      <c r="H348">
        <v>0.06</v>
      </c>
      <c r="I348">
        <v>43.199999999999996</v>
      </c>
      <c r="J348" t="s">
        <v>32</v>
      </c>
    </row>
    <row r="349" spans="1:10" x14ac:dyDescent="0.25">
      <c r="A349" t="s">
        <v>379</v>
      </c>
      <c r="B349" s="1">
        <v>43284</v>
      </c>
      <c r="C349" t="s">
        <v>15</v>
      </c>
      <c r="D349" t="s">
        <v>12</v>
      </c>
      <c r="E349">
        <v>9</v>
      </c>
      <c r="F349">
        <v>40</v>
      </c>
      <c r="G349">
        <v>360</v>
      </c>
      <c r="H349">
        <v>0.01</v>
      </c>
      <c r="I349">
        <v>3.6</v>
      </c>
      <c r="J349" t="s">
        <v>35</v>
      </c>
    </row>
    <row r="350" spans="1:10" x14ac:dyDescent="0.25">
      <c r="A350" t="s">
        <v>380</v>
      </c>
      <c r="B350" s="1">
        <v>43284</v>
      </c>
      <c r="C350" t="s">
        <v>15</v>
      </c>
      <c r="D350" t="s">
        <v>16</v>
      </c>
      <c r="E350">
        <v>7</v>
      </c>
      <c r="F350">
        <v>40</v>
      </c>
      <c r="G350">
        <v>280</v>
      </c>
      <c r="H350">
        <v>0.01</v>
      </c>
      <c r="I350">
        <v>2.8000000000000003</v>
      </c>
      <c r="J350" t="s">
        <v>37</v>
      </c>
    </row>
    <row r="351" spans="1:10" x14ac:dyDescent="0.25">
      <c r="A351" t="s">
        <v>381</v>
      </c>
      <c r="B351" s="1">
        <v>43284</v>
      </c>
      <c r="C351" t="s">
        <v>19</v>
      </c>
      <c r="D351" t="s">
        <v>24</v>
      </c>
      <c r="E351">
        <v>12</v>
      </c>
      <c r="F351">
        <v>230</v>
      </c>
      <c r="G351">
        <v>2760</v>
      </c>
      <c r="H351">
        <v>0.06</v>
      </c>
      <c r="I351">
        <v>165.6</v>
      </c>
      <c r="J351" t="s">
        <v>39</v>
      </c>
    </row>
    <row r="352" spans="1:10" x14ac:dyDescent="0.25">
      <c r="A352" t="s">
        <v>382</v>
      </c>
      <c r="B352" s="1">
        <v>43284</v>
      </c>
      <c r="C352" t="s">
        <v>30</v>
      </c>
      <c r="D352" t="s">
        <v>16</v>
      </c>
      <c r="E352">
        <v>22</v>
      </c>
      <c r="F352">
        <v>16</v>
      </c>
      <c r="G352">
        <v>352</v>
      </c>
      <c r="H352">
        <v>0.04</v>
      </c>
      <c r="I352">
        <v>14.08</v>
      </c>
      <c r="J352" t="s">
        <v>13</v>
      </c>
    </row>
    <row r="353" spans="1:10" x14ac:dyDescent="0.25">
      <c r="A353" t="s">
        <v>383</v>
      </c>
      <c r="B353" s="1">
        <v>43285</v>
      </c>
      <c r="C353" t="s">
        <v>34</v>
      </c>
      <c r="D353" t="s">
        <v>12</v>
      </c>
      <c r="E353">
        <v>5</v>
      </c>
      <c r="F353">
        <v>150</v>
      </c>
      <c r="G353">
        <v>750</v>
      </c>
      <c r="H353">
        <v>0.11</v>
      </c>
      <c r="I353">
        <v>82.5</v>
      </c>
      <c r="J353" t="s">
        <v>17</v>
      </c>
    </row>
    <row r="354" spans="1:10" x14ac:dyDescent="0.25">
      <c r="A354" t="s">
        <v>384</v>
      </c>
      <c r="B354" s="1">
        <v>43285</v>
      </c>
      <c r="C354" t="s">
        <v>11</v>
      </c>
      <c r="D354" t="s">
        <v>16</v>
      </c>
      <c r="E354">
        <v>14</v>
      </c>
      <c r="F354">
        <v>80</v>
      </c>
      <c r="G354">
        <v>1120</v>
      </c>
      <c r="H354">
        <v>0.11</v>
      </c>
      <c r="I354">
        <v>123.2</v>
      </c>
      <c r="J354" t="s">
        <v>20</v>
      </c>
    </row>
    <row r="355" spans="1:10" x14ac:dyDescent="0.25">
      <c r="A355" t="s">
        <v>385</v>
      </c>
      <c r="B355" s="1">
        <v>43285</v>
      </c>
      <c r="C355" t="s">
        <v>30</v>
      </c>
      <c r="D355" t="s">
        <v>24</v>
      </c>
      <c r="E355">
        <v>8</v>
      </c>
      <c r="F355">
        <v>16</v>
      </c>
      <c r="G355">
        <v>128</v>
      </c>
      <c r="H355">
        <v>0.03</v>
      </c>
      <c r="I355">
        <v>3.84</v>
      </c>
      <c r="J355" t="s">
        <v>22</v>
      </c>
    </row>
    <row r="356" spans="1:10" x14ac:dyDescent="0.25">
      <c r="A356" t="s">
        <v>386</v>
      </c>
      <c r="B356" s="1">
        <v>43285</v>
      </c>
      <c r="C356" t="s">
        <v>19</v>
      </c>
      <c r="D356" t="s">
        <v>24</v>
      </c>
      <c r="E356">
        <v>6</v>
      </c>
      <c r="F356">
        <v>230</v>
      </c>
      <c r="G356">
        <v>1380</v>
      </c>
      <c r="H356">
        <v>0.05</v>
      </c>
      <c r="I356">
        <v>69</v>
      </c>
      <c r="J356" t="s">
        <v>25</v>
      </c>
    </row>
    <row r="357" spans="1:10" x14ac:dyDescent="0.25">
      <c r="A357" t="s">
        <v>387</v>
      </c>
      <c r="B357" s="1">
        <v>43285</v>
      </c>
      <c r="C357" t="s">
        <v>30</v>
      </c>
      <c r="D357" t="s">
        <v>27</v>
      </c>
      <c r="E357">
        <v>7</v>
      </c>
      <c r="F357">
        <v>16</v>
      </c>
      <c r="G357">
        <v>112</v>
      </c>
      <c r="H357">
        <v>0.08</v>
      </c>
      <c r="I357">
        <v>8.9600000000000009</v>
      </c>
      <c r="J357" t="s">
        <v>28</v>
      </c>
    </row>
    <row r="358" spans="1:10" x14ac:dyDescent="0.25">
      <c r="A358" t="s">
        <v>388</v>
      </c>
      <c r="B358" s="1">
        <v>43285</v>
      </c>
      <c r="C358" t="s">
        <v>11</v>
      </c>
      <c r="D358" t="s">
        <v>16</v>
      </c>
      <c r="E358">
        <v>16</v>
      </c>
      <c r="F358">
        <v>80</v>
      </c>
      <c r="G358">
        <v>1280</v>
      </c>
      <c r="H358">
        <v>0.04</v>
      </c>
      <c r="I358">
        <v>51.2</v>
      </c>
      <c r="J358" t="s">
        <v>32</v>
      </c>
    </row>
    <row r="359" spans="1:10" x14ac:dyDescent="0.25">
      <c r="A359" t="s">
        <v>389</v>
      </c>
      <c r="B359" s="1">
        <v>43285</v>
      </c>
      <c r="C359" t="s">
        <v>34</v>
      </c>
      <c r="D359" t="s">
        <v>12</v>
      </c>
      <c r="E359">
        <v>17</v>
      </c>
      <c r="F359">
        <v>150</v>
      </c>
      <c r="G359">
        <v>2550</v>
      </c>
      <c r="H359">
        <v>0.12</v>
      </c>
      <c r="I359">
        <v>306</v>
      </c>
      <c r="J359" t="s">
        <v>35</v>
      </c>
    </row>
    <row r="360" spans="1:10" x14ac:dyDescent="0.25">
      <c r="A360" t="s">
        <v>390</v>
      </c>
      <c r="B360" s="1">
        <v>43285</v>
      </c>
      <c r="C360" t="s">
        <v>30</v>
      </c>
      <c r="D360" t="s">
        <v>16</v>
      </c>
      <c r="E360">
        <v>7</v>
      </c>
      <c r="F360">
        <v>16</v>
      </c>
      <c r="G360">
        <v>112</v>
      </c>
      <c r="H360">
        <v>0.08</v>
      </c>
      <c r="I360">
        <v>8.9600000000000009</v>
      </c>
      <c r="J360" t="s">
        <v>37</v>
      </c>
    </row>
    <row r="361" spans="1:10" x14ac:dyDescent="0.25">
      <c r="A361" t="s">
        <v>391</v>
      </c>
      <c r="B361" s="1">
        <v>43286</v>
      </c>
      <c r="C361" t="s">
        <v>30</v>
      </c>
      <c r="D361" t="s">
        <v>12</v>
      </c>
      <c r="E361">
        <v>21</v>
      </c>
      <c r="F361">
        <v>16</v>
      </c>
      <c r="G361">
        <v>336</v>
      </c>
      <c r="H361">
        <v>0.09</v>
      </c>
      <c r="I361">
        <v>30.24</v>
      </c>
      <c r="J361" t="s">
        <v>39</v>
      </c>
    </row>
    <row r="362" spans="1:10" x14ac:dyDescent="0.25">
      <c r="A362" t="s">
        <v>392</v>
      </c>
      <c r="B362" s="1">
        <v>43286</v>
      </c>
      <c r="C362" t="s">
        <v>30</v>
      </c>
      <c r="D362" t="s">
        <v>24</v>
      </c>
      <c r="E362">
        <v>23</v>
      </c>
      <c r="F362">
        <v>16</v>
      </c>
      <c r="G362">
        <v>368</v>
      </c>
      <c r="H362">
        <v>0.11</v>
      </c>
      <c r="I362">
        <v>40.479999999999997</v>
      </c>
      <c r="J362" t="s">
        <v>41</v>
      </c>
    </row>
    <row r="363" spans="1:10" x14ac:dyDescent="0.25">
      <c r="A363" t="s">
        <v>393</v>
      </c>
      <c r="B363" s="1">
        <v>43286</v>
      </c>
      <c r="C363" t="s">
        <v>34</v>
      </c>
      <c r="D363" t="s">
        <v>24</v>
      </c>
      <c r="E363">
        <v>2</v>
      </c>
      <c r="F363">
        <v>150</v>
      </c>
      <c r="G363">
        <v>300</v>
      </c>
      <c r="H363">
        <v>0.02</v>
      </c>
      <c r="I363">
        <v>6</v>
      </c>
      <c r="J363" t="s">
        <v>43</v>
      </c>
    </row>
    <row r="364" spans="1:10" x14ac:dyDescent="0.25">
      <c r="A364" t="s">
        <v>394</v>
      </c>
      <c r="B364" s="1">
        <v>43286</v>
      </c>
      <c r="C364" t="s">
        <v>34</v>
      </c>
      <c r="D364" t="s">
        <v>12</v>
      </c>
      <c r="E364">
        <v>22</v>
      </c>
      <c r="F364">
        <v>150</v>
      </c>
      <c r="G364">
        <v>3300</v>
      </c>
      <c r="H364">
        <v>7.0000000000000007E-2</v>
      </c>
      <c r="I364">
        <v>231.00000000000003</v>
      </c>
      <c r="J364" t="s">
        <v>13</v>
      </c>
    </row>
    <row r="365" spans="1:10" x14ac:dyDescent="0.25">
      <c r="A365" t="s">
        <v>395</v>
      </c>
      <c r="B365" s="1">
        <v>43286</v>
      </c>
      <c r="C365" t="s">
        <v>15</v>
      </c>
      <c r="D365" t="s">
        <v>27</v>
      </c>
      <c r="E365">
        <v>22</v>
      </c>
      <c r="F365">
        <v>40</v>
      </c>
      <c r="G365">
        <v>880</v>
      </c>
      <c r="H365">
        <v>0.01</v>
      </c>
      <c r="I365">
        <v>8.8000000000000007</v>
      </c>
      <c r="J365" t="s">
        <v>17</v>
      </c>
    </row>
    <row r="366" spans="1:10" x14ac:dyDescent="0.25">
      <c r="A366" t="s">
        <v>396</v>
      </c>
      <c r="B366" s="1">
        <v>43286</v>
      </c>
      <c r="C366" t="s">
        <v>11</v>
      </c>
      <c r="D366" t="s">
        <v>16</v>
      </c>
      <c r="E366">
        <v>10</v>
      </c>
      <c r="F366">
        <v>80</v>
      </c>
      <c r="G366">
        <v>800</v>
      </c>
      <c r="H366">
        <v>0.11</v>
      </c>
      <c r="I366">
        <v>88</v>
      </c>
      <c r="J366" t="s">
        <v>20</v>
      </c>
    </row>
    <row r="367" spans="1:10" x14ac:dyDescent="0.25">
      <c r="A367" t="s">
        <v>397</v>
      </c>
      <c r="B367" s="1">
        <v>43286</v>
      </c>
      <c r="C367" t="s">
        <v>11</v>
      </c>
      <c r="D367" t="s">
        <v>31</v>
      </c>
      <c r="E367">
        <v>13</v>
      </c>
      <c r="F367">
        <v>80</v>
      </c>
      <c r="G367">
        <v>1040</v>
      </c>
      <c r="H367">
        <v>0.05</v>
      </c>
      <c r="I367">
        <v>52</v>
      </c>
      <c r="J367" t="s">
        <v>22</v>
      </c>
    </row>
    <row r="368" spans="1:10" x14ac:dyDescent="0.25">
      <c r="A368" t="s">
        <v>398</v>
      </c>
      <c r="B368" s="1">
        <v>43286</v>
      </c>
      <c r="C368" t="s">
        <v>19</v>
      </c>
      <c r="D368" t="s">
        <v>27</v>
      </c>
      <c r="E368">
        <v>11</v>
      </c>
      <c r="F368">
        <v>230</v>
      </c>
      <c r="G368">
        <v>2530</v>
      </c>
      <c r="H368">
        <v>0.12</v>
      </c>
      <c r="I368">
        <v>303.59999999999997</v>
      </c>
      <c r="J368" t="s">
        <v>25</v>
      </c>
    </row>
    <row r="369" spans="1:10" x14ac:dyDescent="0.25">
      <c r="A369" t="s">
        <v>399</v>
      </c>
      <c r="B369" s="1">
        <v>43286</v>
      </c>
      <c r="C369" t="s">
        <v>19</v>
      </c>
      <c r="D369" t="s">
        <v>12</v>
      </c>
      <c r="E369">
        <v>9</v>
      </c>
      <c r="F369">
        <v>230</v>
      </c>
      <c r="G369">
        <v>2070</v>
      </c>
      <c r="H369">
        <v>7.0000000000000007E-2</v>
      </c>
      <c r="I369">
        <v>144.9</v>
      </c>
      <c r="J369" t="s">
        <v>28</v>
      </c>
    </row>
    <row r="370" spans="1:10" x14ac:dyDescent="0.25">
      <c r="A370" t="s">
        <v>400</v>
      </c>
      <c r="B370" s="1">
        <v>43286</v>
      </c>
      <c r="C370" t="s">
        <v>19</v>
      </c>
      <c r="D370" t="s">
        <v>27</v>
      </c>
      <c r="E370">
        <v>16</v>
      </c>
      <c r="F370">
        <v>230</v>
      </c>
      <c r="G370">
        <v>3680</v>
      </c>
      <c r="H370">
        <v>0.11</v>
      </c>
      <c r="I370">
        <v>404.8</v>
      </c>
      <c r="J370" t="s">
        <v>32</v>
      </c>
    </row>
    <row r="371" spans="1:10" x14ac:dyDescent="0.25">
      <c r="A371" t="s">
        <v>401</v>
      </c>
      <c r="B371" s="1">
        <v>43286</v>
      </c>
      <c r="C371" t="s">
        <v>19</v>
      </c>
      <c r="D371" t="s">
        <v>27</v>
      </c>
      <c r="E371">
        <v>18</v>
      </c>
      <c r="F371">
        <v>230</v>
      </c>
      <c r="G371">
        <v>4140</v>
      </c>
      <c r="H371">
        <v>0.01</v>
      </c>
      <c r="I371">
        <v>41.4</v>
      </c>
      <c r="J371" t="s">
        <v>35</v>
      </c>
    </row>
    <row r="372" spans="1:10" x14ac:dyDescent="0.25">
      <c r="A372" t="s">
        <v>402</v>
      </c>
      <c r="B372" s="1">
        <v>43286</v>
      </c>
      <c r="C372" t="s">
        <v>30</v>
      </c>
      <c r="D372" t="s">
        <v>16</v>
      </c>
      <c r="E372">
        <v>15</v>
      </c>
      <c r="F372">
        <v>16</v>
      </c>
      <c r="G372">
        <v>240</v>
      </c>
      <c r="H372">
        <v>0.02</v>
      </c>
      <c r="I372">
        <v>4.8</v>
      </c>
      <c r="J372" t="s">
        <v>37</v>
      </c>
    </row>
    <row r="373" spans="1:10" x14ac:dyDescent="0.25">
      <c r="A373" t="s">
        <v>403</v>
      </c>
      <c r="B373" s="1">
        <v>43286</v>
      </c>
      <c r="C373" t="s">
        <v>15</v>
      </c>
      <c r="D373" t="s">
        <v>31</v>
      </c>
      <c r="E373">
        <v>18</v>
      </c>
      <c r="F373">
        <v>40</v>
      </c>
      <c r="G373">
        <v>720</v>
      </c>
      <c r="H373">
        <v>0.06</v>
      </c>
      <c r="I373">
        <v>43.199999999999996</v>
      </c>
      <c r="J373" t="s">
        <v>39</v>
      </c>
    </row>
    <row r="374" spans="1:10" x14ac:dyDescent="0.25">
      <c r="A374" t="s">
        <v>404</v>
      </c>
      <c r="B374" s="1">
        <v>43286</v>
      </c>
      <c r="C374" t="s">
        <v>15</v>
      </c>
      <c r="D374" t="s">
        <v>27</v>
      </c>
      <c r="E374">
        <v>18</v>
      </c>
      <c r="F374">
        <v>40</v>
      </c>
      <c r="G374">
        <v>720</v>
      </c>
      <c r="H374">
        <v>0.04</v>
      </c>
      <c r="I374">
        <v>28.8</v>
      </c>
      <c r="J374" t="s">
        <v>41</v>
      </c>
    </row>
    <row r="375" spans="1:10" x14ac:dyDescent="0.25">
      <c r="A375" t="s">
        <v>405</v>
      </c>
      <c r="B375" s="1">
        <v>43286</v>
      </c>
      <c r="C375" t="s">
        <v>30</v>
      </c>
      <c r="D375" t="s">
        <v>27</v>
      </c>
      <c r="E375">
        <v>22</v>
      </c>
      <c r="F375">
        <v>16</v>
      </c>
      <c r="G375">
        <v>352</v>
      </c>
      <c r="H375">
        <v>0.03</v>
      </c>
      <c r="I375">
        <v>10.559999999999999</v>
      </c>
      <c r="J375" t="s">
        <v>43</v>
      </c>
    </row>
    <row r="376" spans="1:10" x14ac:dyDescent="0.25">
      <c r="A376" t="s">
        <v>406</v>
      </c>
      <c r="B376" s="1">
        <v>43286</v>
      </c>
      <c r="C376" t="s">
        <v>30</v>
      </c>
      <c r="D376" t="s">
        <v>24</v>
      </c>
      <c r="E376">
        <v>12</v>
      </c>
      <c r="F376">
        <v>16</v>
      </c>
      <c r="G376">
        <v>192</v>
      </c>
      <c r="H376">
        <v>0.11</v>
      </c>
      <c r="I376">
        <v>21.12</v>
      </c>
      <c r="J376" t="s">
        <v>13</v>
      </c>
    </row>
    <row r="377" spans="1:10" x14ac:dyDescent="0.25">
      <c r="A377" t="s">
        <v>407</v>
      </c>
      <c r="B377" s="1">
        <v>43287</v>
      </c>
      <c r="C377" t="s">
        <v>11</v>
      </c>
      <c r="D377" t="s">
        <v>12</v>
      </c>
      <c r="E377">
        <v>20</v>
      </c>
      <c r="F377">
        <v>80</v>
      </c>
      <c r="G377">
        <v>1600</v>
      </c>
      <c r="H377">
        <v>0.01</v>
      </c>
      <c r="I377">
        <v>16</v>
      </c>
      <c r="J377" t="s">
        <v>17</v>
      </c>
    </row>
    <row r="378" spans="1:10" x14ac:dyDescent="0.25">
      <c r="A378" t="s">
        <v>408</v>
      </c>
      <c r="B378" s="1">
        <v>43287</v>
      </c>
      <c r="C378" t="s">
        <v>19</v>
      </c>
      <c r="D378" t="s">
        <v>24</v>
      </c>
      <c r="E378">
        <v>10</v>
      </c>
      <c r="F378">
        <v>230</v>
      </c>
      <c r="G378">
        <v>2300</v>
      </c>
      <c r="H378">
        <v>0.02</v>
      </c>
      <c r="I378">
        <v>46</v>
      </c>
      <c r="J378" t="s">
        <v>20</v>
      </c>
    </row>
    <row r="379" spans="1:10" x14ac:dyDescent="0.25">
      <c r="A379" t="s">
        <v>409</v>
      </c>
      <c r="B379" s="1">
        <v>43287</v>
      </c>
      <c r="C379" t="s">
        <v>19</v>
      </c>
      <c r="D379" t="s">
        <v>16</v>
      </c>
      <c r="E379">
        <v>9</v>
      </c>
      <c r="F379">
        <v>230</v>
      </c>
      <c r="G379">
        <v>2070</v>
      </c>
      <c r="H379">
        <v>0.03</v>
      </c>
      <c r="I379">
        <v>62.099999999999994</v>
      </c>
      <c r="J379" t="s">
        <v>22</v>
      </c>
    </row>
    <row r="380" spans="1:10" x14ac:dyDescent="0.25">
      <c r="A380" t="s">
        <v>410</v>
      </c>
      <c r="B380" s="1">
        <v>43287</v>
      </c>
      <c r="C380" t="s">
        <v>11</v>
      </c>
      <c r="D380" t="s">
        <v>16</v>
      </c>
      <c r="E380">
        <v>17</v>
      </c>
      <c r="F380">
        <v>80</v>
      </c>
      <c r="G380">
        <v>1360</v>
      </c>
      <c r="H380">
        <v>0.03</v>
      </c>
      <c r="I380">
        <v>40.799999999999997</v>
      </c>
      <c r="J380" t="s">
        <v>25</v>
      </c>
    </row>
    <row r="381" spans="1:10" x14ac:dyDescent="0.25">
      <c r="A381" t="s">
        <v>411</v>
      </c>
      <c r="B381" s="1">
        <v>43287</v>
      </c>
      <c r="C381" t="s">
        <v>15</v>
      </c>
      <c r="D381" t="s">
        <v>31</v>
      </c>
      <c r="E381">
        <v>4</v>
      </c>
      <c r="F381">
        <v>40</v>
      </c>
      <c r="G381">
        <v>160</v>
      </c>
      <c r="H381">
        <v>0.09</v>
      </c>
      <c r="I381">
        <v>14.399999999999999</v>
      </c>
      <c r="J381" t="s">
        <v>28</v>
      </c>
    </row>
    <row r="382" spans="1:10" x14ac:dyDescent="0.25">
      <c r="A382" t="s">
        <v>412</v>
      </c>
      <c r="B382" s="1">
        <v>43287</v>
      </c>
      <c r="C382" t="s">
        <v>34</v>
      </c>
      <c r="D382" t="s">
        <v>16</v>
      </c>
      <c r="E382">
        <v>16</v>
      </c>
      <c r="F382">
        <v>150</v>
      </c>
      <c r="G382">
        <v>2400</v>
      </c>
      <c r="H382">
        <v>0.03</v>
      </c>
      <c r="I382">
        <v>72</v>
      </c>
      <c r="J382" t="s">
        <v>32</v>
      </c>
    </row>
    <row r="383" spans="1:10" x14ac:dyDescent="0.25">
      <c r="A383" t="s">
        <v>413</v>
      </c>
      <c r="B383" s="1">
        <v>43287</v>
      </c>
      <c r="C383" t="s">
        <v>11</v>
      </c>
      <c r="D383" t="s">
        <v>24</v>
      </c>
      <c r="E383">
        <v>8</v>
      </c>
      <c r="F383">
        <v>80</v>
      </c>
      <c r="G383">
        <v>640</v>
      </c>
      <c r="H383">
        <v>0.02</v>
      </c>
      <c r="I383">
        <v>12.8</v>
      </c>
      <c r="J383" t="s">
        <v>35</v>
      </c>
    </row>
    <row r="384" spans="1:10" x14ac:dyDescent="0.25">
      <c r="A384" t="s">
        <v>414</v>
      </c>
      <c r="B384" s="1">
        <v>43287</v>
      </c>
      <c r="C384" t="s">
        <v>15</v>
      </c>
      <c r="D384" t="s">
        <v>27</v>
      </c>
      <c r="E384">
        <v>23</v>
      </c>
      <c r="F384">
        <v>40</v>
      </c>
      <c r="G384">
        <v>920</v>
      </c>
      <c r="H384">
        <v>0.06</v>
      </c>
      <c r="I384">
        <v>55.199999999999996</v>
      </c>
      <c r="J384" t="s">
        <v>37</v>
      </c>
    </row>
    <row r="385" spans="1:10" x14ac:dyDescent="0.25">
      <c r="A385" t="s">
        <v>415</v>
      </c>
      <c r="B385" s="1">
        <v>43288</v>
      </c>
      <c r="C385" t="s">
        <v>34</v>
      </c>
      <c r="D385" t="s">
        <v>27</v>
      </c>
      <c r="E385">
        <v>20</v>
      </c>
      <c r="F385">
        <v>150</v>
      </c>
      <c r="G385">
        <v>3000</v>
      </c>
      <c r="H385">
        <v>0.1</v>
      </c>
      <c r="I385">
        <v>300</v>
      </c>
      <c r="J385" t="s">
        <v>39</v>
      </c>
    </row>
    <row r="386" spans="1:10" x14ac:dyDescent="0.25">
      <c r="A386" t="s">
        <v>416</v>
      </c>
      <c r="B386" s="1">
        <v>43288</v>
      </c>
      <c r="C386" t="s">
        <v>19</v>
      </c>
      <c r="D386" t="s">
        <v>31</v>
      </c>
      <c r="E386">
        <v>22</v>
      </c>
      <c r="F386">
        <v>230</v>
      </c>
      <c r="G386">
        <v>5060</v>
      </c>
      <c r="H386">
        <v>0.1</v>
      </c>
      <c r="I386">
        <v>506</v>
      </c>
      <c r="J386" t="s">
        <v>41</v>
      </c>
    </row>
    <row r="387" spans="1:10" x14ac:dyDescent="0.25">
      <c r="A387" t="s">
        <v>417</v>
      </c>
      <c r="B387" s="1">
        <v>43288</v>
      </c>
      <c r="C387" t="s">
        <v>19</v>
      </c>
      <c r="D387" t="s">
        <v>16</v>
      </c>
      <c r="E387">
        <v>6</v>
      </c>
      <c r="F387">
        <v>230</v>
      </c>
      <c r="G387">
        <v>1380</v>
      </c>
      <c r="H387">
        <v>0.1</v>
      </c>
      <c r="I387">
        <v>138</v>
      </c>
      <c r="J387" t="s">
        <v>43</v>
      </c>
    </row>
    <row r="388" spans="1:10" x14ac:dyDescent="0.25">
      <c r="A388" t="s">
        <v>418</v>
      </c>
      <c r="B388" s="1">
        <v>43288</v>
      </c>
      <c r="C388" t="s">
        <v>11</v>
      </c>
      <c r="D388" t="s">
        <v>27</v>
      </c>
      <c r="E388">
        <v>10</v>
      </c>
      <c r="F388">
        <v>80</v>
      </c>
      <c r="G388">
        <v>800</v>
      </c>
      <c r="H388">
        <v>0.1</v>
      </c>
      <c r="I388">
        <v>80</v>
      </c>
      <c r="J388" t="s">
        <v>13</v>
      </c>
    </row>
    <row r="389" spans="1:10" x14ac:dyDescent="0.25">
      <c r="A389" t="s">
        <v>419</v>
      </c>
      <c r="B389" s="1">
        <v>43288</v>
      </c>
      <c r="C389" t="s">
        <v>19</v>
      </c>
      <c r="D389" t="s">
        <v>31</v>
      </c>
      <c r="E389">
        <v>21</v>
      </c>
      <c r="F389">
        <v>230</v>
      </c>
      <c r="G389">
        <v>4830</v>
      </c>
      <c r="H389">
        <v>0.05</v>
      </c>
      <c r="I389">
        <v>241.5</v>
      </c>
      <c r="J389" t="s">
        <v>17</v>
      </c>
    </row>
    <row r="390" spans="1:10" x14ac:dyDescent="0.25">
      <c r="A390" t="s">
        <v>420</v>
      </c>
      <c r="B390" s="1">
        <v>43288</v>
      </c>
      <c r="C390" t="s">
        <v>19</v>
      </c>
      <c r="D390" t="s">
        <v>12</v>
      </c>
      <c r="E390">
        <v>20</v>
      </c>
      <c r="F390">
        <v>230</v>
      </c>
      <c r="G390">
        <v>4600</v>
      </c>
      <c r="H390">
        <v>0.04</v>
      </c>
      <c r="I390">
        <v>184</v>
      </c>
      <c r="J390" t="s">
        <v>20</v>
      </c>
    </row>
    <row r="391" spans="1:10" x14ac:dyDescent="0.25">
      <c r="A391" t="s">
        <v>421</v>
      </c>
      <c r="B391" s="1">
        <v>43288</v>
      </c>
      <c r="C391" t="s">
        <v>11</v>
      </c>
      <c r="D391" t="s">
        <v>24</v>
      </c>
      <c r="E391">
        <v>20</v>
      </c>
      <c r="F391">
        <v>80</v>
      </c>
      <c r="G391">
        <v>1600</v>
      </c>
      <c r="H391">
        <v>7.0000000000000007E-2</v>
      </c>
      <c r="I391">
        <v>112.00000000000001</v>
      </c>
      <c r="J391" t="s">
        <v>22</v>
      </c>
    </row>
    <row r="392" spans="1:10" x14ac:dyDescent="0.25">
      <c r="A392" t="s">
        <v>422</v>
      </c>
      <c r="B392" s="1">
        <v>43288</v>
      </c>
      <c r="C392" t="s">
        <v>11</v>
      </c>
      <c r="D392" t="s">
        <v>24</v>
      </c>
      <c r="E392">
        <v>7</v>
      </c>
      <c r="F392">
        <v>80</v>
      </c>
      <c r="G392">
        <v>560</v>
      </c>
      <c r="H392">
        <v>0.05</v>
      </c>
      <c r="I392">
        <v>28</v>
      </c>
      <c r="J392" t="s">
        <v>25</v>
      </c>
    </row>
    <row r="393" spans="1:10" x14ac:dyDescent="0.25">
      <c r="A393" t="s">
        <v>423</v>
      </c>
      <c r="B393" s="1">
        <v>43288</v>
      </c>
      <c r="C393" t="s">
        <v>11</v>
      </c>
      <c r="D393" t="s">
        <v>12</v>
      </c>
      <c r="E393">
        <v>8</v>
      </c>
      <c r="F393">
        <v>80</v>
      </c>
      <c r="G393">
        <v>640</v>
      </c>
      <c r="H393">
        <v>0.09</v>
      </c>
      <c r="I393">
        <v>57.599999999999994</v>
      </c>
      <c r="J393" t="s">
        <v>28</v>
      </c>
    </row>
    <row r="394" spans="1:10" x14ac:dyDescent="0.25">
      <c r="A394" t="s">
        <v>424</v>
      </c>
      <c r="B394" s="1">
        <v>43288</v>
      </c>
      <c r="C394" t="s">
        <v>11</v>
      </c>
      <c r="D394" t="s">
        <v>16</v>
      </c>
      <c r="E394">
        <v>3</v>
      </c>
      <c r="F394">
        <v>80</v>
      </c>
      <c r="G394">
        <v>240</v>
      </c>
      <c r="H394">
        <v>0.02</v>
      </c>
      <c r="I394">
        <v>4.8</v>
      </c>
      <c r="J394" t="s">
        <v>32</v>
      </c>
    </row>
    <row r="395" spans="1:10" x14ac:dyDescent="0.25">
      <c r="A395" t="s">
        <v>425</v>
      </c>
      <c r="B395" s="1">
        <v>43288</v>
      </c>
      <c r="C395" t="s">
        <v>11</v>
      </c>
      <c r="D395" t="s">
        <v>27</v>
      </c>
      <c r="E395">
        <v>8</v>
      </c>
      <c r="F395">
        <v>80</v>
      </c>
      <c r="G395">
        <v>640</v>
      </c>
      <c r="H395">
        <v>0.06</v>
      </c>
      <c r="I395">
        <v>38.4</v>
      </c>
      <c r="J395" t="s">
        <v>35</v>
      </c>
    </row>
    <row r="396" spans="1:10" x14ac:dyDescent="0.25">
      <c r="A396" t="s">
        <v>426</v>
      </c>
      <c r="B396" s="1">
        <v>43288</v>
      </c>
      <c r="C396" t="s">
        <v>34</v>
      </c>
      <c r="D396" t="s">
        <v>31</v>
      </c>
      <c r="E396">
        <v>13</v>
      </c>
      <c r="F396">
        <v>150</v>
      </c>
      <c r="G396">
        <v>1950</v>
      </c>
      <c r="H396">
        <v>0.11</v>
      </c>
      <c r="I396">
        <v>214.5</v>
      </c>
      <c r="J396" t="s">
        <v>37</v>
      </c>
    </row>
    <row r="397" spans="1:10" x14ac:dyDescent="0.25">
      <c r="A397" t="s">
        <v>427</v>
      </c>
      <c r="B397" s="1">
        <v>43288</v>
      </c>
      <c r="C397" t="s">
        <v>11</v>
      </c>
      <c r="D397" t="s">
        <v>27</v>
      </c>
      <c r="E397">
        <v>15</v>
      </c>
      <c r="F397">
        <v>80</v>
      </c>
      <c r="G397">
        <v>1200</v>
      </c>
      <c r="H397">
        <v>0.08</v>
      </c>
      <c r="I397">
        <v>96</v>
      </c>
      <c r="J397" t="s">
        <v>39</v>
      </c>
    </row>
    <row r="398" spans="1:10" x14ac:dyDescent="0.25">
      <c r="A398" t="s">
        <v>428</v>
      </c>
      <c r="B398" s="1">
        <v>43288</v>
      </c>
      <c r="C398" t="s">
        <v>34</v>
      </c>
      <c r="D398" t="s">
        <v>31</v>
      </c>
      <c r="E398">
        <v>7</v>
      </c>
      <c r="F398">
        <v>150</v>
      </c>
      <c r="G398">
        <v>1050</v>
      </c>
      <c r="H398">
        <v>0.02</v>
      </c>
      <c r="I398">
        <v>21</v>
      </c>
      <c r="J398" t="s">
        <v>41</v>
      </c>
    </row>
    <row r="399" spans="1:10" x14ac:dyDescent="0.25">
      <c r="A399" t="s">
        <v>429</v>
      </c>
      <c r="B399" s="1">
        <v>43288</v>
      </c>
      <c r="C399" t="s">
        <v>15</v>
      </c>
      <c r="D399" t="s">
        <v>24</v>
      </c>
      <c r="E399">
        <v>6</v>
      </c>
      <c r="F399">
        <v>40</v>
      </c>
      <c r="G399">
        <v>240</v>
      </c>
      <c r="H399">
        <v>0.06</v>
      </c>
      <c r="I399">
        <v>14.399999999999999</v>
      </c>
      <c r="J399" t="s">
        <v>43</v>
      </c>
    </row>
    <row r="400" spans="1:10" x14ac:dyDescent="0.25">
      <c r="A400" t="s">
        <v>430</v>
      </c>
      <c r="B400" s="1">
        <v>43288</v>
      </c>
      <c r="C400" t="s">
        <v>11</v>
      </c>
      <c r="D400" t="s">
        <v>27</v>
      </c>
      <c r="E400">
        <v>23</v>
      </c>
      <c r="F400">
        <v>80</v>
      </c>
      <c r="G400">
        <v>1840</v>
      </c>
      <c r="H400">
        <v>0.11</v>
      </c>
      <c r="I400">
        <v>202.4</v>
      </c>
      <c r="J400" t="s">
        <v>13</v>
      </c>
    </row>
    <row r="401" spans="1:10" x14ac:dyDescent="0.25">
      <c r="A401" t="s">
        <v>431</v>
      </c>
      <c r="B401" s="1">
        <v>43288</v>
      </c>
      <c r="C401" t="s">
        <v>19</v>
      </c>
      <c r="D401" t="s">
        <v>24</v>
      </c>
      <c r="E401">
        <v>18</v>
      </c>
      <c r="F401">
        <v>230</v>
      </c>
      <c r="G401">
        <v>4140</v>
      </c>
      <c r="H401">
        <v>0.01</v>
      </c>
      <c r="I401">
        <v>41.4</v>
      </c>
      <c r="J401" t="s">
        <v>17</v>
      </c>
    </row>
    <row r="402" spans="1:10" x14ac:dyDescent="0.25">
      <c r="A402" t="s">
        <v>432</v>
      </c>
      <c r="B402" s="1">
        <v>43289</v>
      </c>
      <c r="C402" t="s">
        <v>11</v>
      </c>
      <c r="D402" t="s">
        <v>31</v>
      </c>
      <c r="E402">
        <v>21</v>
      </c>
      <c r="F402">
        <v>80</v>
      </c>
      <c r="G402">
        <v>1680</v>
      </c>
      <c r="H402">
        <v>0.09</v>
      </c>
      <c r="I402">
        <v>151.19999999999999</v>
      </c>
      <c r="J402" t="s">
        <v>20</v>
      </c>
    </row>
    <row r="403" spans="1:10" x14ac:dyDescent="0.25">
      <c r="A403" t="s">
        <v>433</v>
      </c>
      <c r="B403" s="1">
        <v>43289</v>
      </c>
      <c r="C403" t="s">
        <v>15</v>
      </c>
      <c r="D403" t="s">
        <v>24</v>
      </c>
      <c r="E403">
        <v>13</v>
      </c>
      <c r="F403">
        <v>40</v>
      </c>
      <c r="G403">
        <v>520</v>
      </c>
      <c r="H403">
        <v>0.02</v>
      </c>
      <c r="I403">
        <v>10.4</v>
      </c>
      <c r="J403" t="s">
        <v>22</v>
      </c>
    </row>
    <row r="404" spans="1:10" x14ac:dyDescent="0.25">
      <c r="A404" t="s">
        <v>434</v>
      </c>
      <c r="B404" s="1">
        <v>43289</v>
      </c>
      <c r="C404" t="s">
        <v>11</v>
      </c>
      <c r="D404" t="s">
        <v>24</v>
      </c>
      <c r="E404">
        <v>23</v>
      </c>
      <c r="F404">
        <v>80</v>
      </c>
      <c r="G404">
        <v>1840</v>
      </c>
      <c r="H404">
        <v>0.05</v>
      </c>
      <c r="I404">
        <v>92</v>
      </c>
      <c r="J404" t="s">
        <v>25</v>
      </c>
    </row>
    <row r="405" spans="1:10" x14ac:dyDescent="0.25">
      <c r="A405" t="s">
        <v>435</v>
      </c>
      <c r="B405" s="1">
        <v>43289</v>
      </c>
      <c r="C405" t="s">
        <v>34</v>
      </c>
      <c r="D405" t="s">
        <v>27</v>
      </c>
      <c r="E405">
        <v>15</v>
      </c>
      <c r="F405">
        <v>150</v>
      </c>
      <c r="G405">
        <v>2250</v>
      </c>
      <c r="H405">
        <v>0.05</v>
      </c>
      <c r="I405">
        <v>112.5</v>
      </c>
      <c r="J405" t="s">
        <v>28</v>
      </c>
    </row>
    <row r="406" spans="1:10" x14ac:dyDescent="0.25">
      <c r="A406" t="s">
        <v>436</v>
      </c>
      <c r="B406" s="1">
        <v>43289</v>
      </c>
      <c r="C406" t="s">
        <v>15</v>
      </c>
      <c r="D406" t="s">
        <v>12</v>
      </c>
      <c r="E406">
        <v>5</v>
      </c>
      <c r="F406">
        <v>40</v>
      </c>
      <c r="G406">
        <v>200</v>
      </c>
      <c r="H406">
        <v>0.09</v>
      </c>
      <c r="I406">
        <v>18</v>
      </c>
      <c r="J406" t="s">
        <v>32</v>
      </c>
    </row>
    <row r="407" spans="1:10" x14ac:dyDescent="0.25">
      <c r="A407" t="s">
        <v>437</v>
      </c>
      <c r="B407" s="1">
        <v>43289</v>
      </c>
      <c r="C407" t="s">
        <v>30</v>
      </c>
      <c r="D407" t="s">
        <v>27</v>
      </c>
      <c r="E407">
        <v>10</v>
      </c>
      <c r="F407">
        <v>16</v>
      </c>
      <c r="G407">
        <v>160</v>
      </c>
      <c r="H407">
        <v>0.01</v>
      </c>
      <c r="I407">
        <v>1.6</v>
      </c>
      <c r="J407" t="s">
        <v>35</v>
      </c>
    </row>
    <row r="408" spans="1:10" x14ac:dyDescent="0.25">
      <c r="A408" t="s">
        <v>438</v>
      </c>
      <c r="B408" s="1">
        <v>43289</v>
      </c>
      <c r="C408" t="s">
        <v>19</v>
      </c>
      <c r="D408" t="s">
        <v>24</v>
      </c>
      <c r="E408">
        <v>2</v>
      </c>
      <c r="F408">
        <v>230</v>
      </c>
      <c r="G408">
        <v>460</v>
      </c>
      <c r="H408">
        <v>0.09</v>
      </c>
      <c r="I408">
        <v>41.4</v>
      </c>
      <c r="J408" t="s">
        <v>37</v>
      </c>
    </row>
    <row r="409" spans="1:10" x14ac:dyDescent="0.25">
      <c r="A409" t="s">
        <v>439</v>
      </c>
      <c r="B409" s="1">
        <v>43289</v>
      </c>
      <c r="C409" t="s">
        <v>11</v>
      </c>
      <c r="D409" t="s">
        <v>27</v>
      </c>
      <c r="E409">
        <v>7</v>
      </c>
      <c r="F409">
        <v>80</v>
      </c>
      <c r="G409">
        <v>560</v>
      </c>
      <c r="H409">
        <v>0.02</v>
      </c>
      <c r="I409">
        <v>11.200000000000001</v>
      </c>
      <c r="J409" t="s">
        <v>39</v>
      </c>
    </row>
    <row r="410" spans="1:10" x14ac:dyDescent="0.25">
      <c r="A410" t="s">
        <v>440</v>
      </c>
      <c r="B410" s="1">
        <v>43289</v>
      </c>
      <c r="C410" t="s">
        <v>34</v>
      </c>
      <c r="D410" t="s">
        <v>27</v>
      </c>
      <c r="E410">
        <v>22</v>
      </c>
      <c r="F410">
        <v>150</v>
      </c>
      <c r="G410">
        <v>3300</v>
      </c>
      <c r="H410">
        <v>0.05</v>
      </c>
      <c r="I410">
        <v>165</v>
      </c>
      <c r="J410" t="s">
        <v>41</v>
      </c>
    </row>
    <row r="411" spans="1:10" x14ac:dyDescent="0.25">
      <c r="A411" t="s">
        <v>441</v>
      </c>
      <c r="B411" s="1">
        <v>43289</v>
      </c>
      <c r="C411" t="s">
        <v>15</v>
      </c>
      <c r="D411" t="s">
        <v>31</v>
      </c>
      <c r="E411">
        <v>17</v>
      </c>
      <c r="F411">
        <v>40</v>
      </c>
      <c r="G411">
        <v>680</v>
      </c>
      <c r="H411">
        <v>0.02</v>
      </c>
      <c r="I411">
        <v>13.6</v>
      </c>
      <c r="J411" t="s">
        <v>43</v>
      </c>
    </row>
    <row r="412" spans="1:10" x14ac:dyDescent="0.25">
      <c r="A412" t="s">
        <v>442</v>
      </c>
      <c r="B412" s="1">
        <v>43289</v>
      </c>
      <c r="C412" t="s">
        <v>30</v>
      </c>
      <c r="D412" t="s">
        <v>12</v>
      </c>
      <c r="E412">
        <v>22</v>
      </c>
      <c r="F412">
        <v>16</v>
      </c>
      <c r="G412">
        <v>352</v>
      </c>
      <c r="H412">
        <v>0.06</v>
      </c>
      <c r="I412">
        <v>21.119999999999997</v>
      </c>
      <c r="J412" t="s">
        <v>13</v>
      </c>
    </row>
    <row r="413" spans="1:10" x14ac:dyDescent="0.25">
      <c r="A413" t="s">
        <v>443</v>
      </c>
      <c r="B413" s="1">
        <v>43289</v>
      </c>
      <c r="C413" t="s">
        <v>30</v>
      </c>
      <c r="D413" t="s">
        <v>31</v>
      </c>
      <c r="E413">
        <v>3</v>
      </c>
      <c r="F413">
        <v>16</v>
      </c>
      <c r="G413">
        <v>48</v>
      </c>
      <c r="H413">
        <v>0.03</v>
      </c>
      <c r="I413">
        <v>1.44</v>
      </c>
      <c r="J413" t="s">
        <v>17</v>
      </c>
    </row>
    <row r="414" spans="1:10" x14ac:dyDescent="0.25">
      <c r="A414" t="s">
        <v>444</v>
      </c>
      <c r="B414" s="1">
        <v>43289</v>
      </c>
      <c r="C414" t="s">
        <v>19</v>
      </c>
      <c r="D414" t="s">
        <v>31</v>
      </c>
      <c r="E414">
        <v>2</v>
      </c>
      <c r="F414">
        <v>230</v>
      </c>
      <c r="G414">
        <v>460</v>
      </c>
      <c r="H414">
        <v>0.08</v>
      </c>
      <c r="I414">
        <v>36.800000000000004</v>
      </c>
      <c r="J414" t="s">
        <v>20</v>
      </c>
    </row>
    <row r="415" spans="1:10" x14ac:dyDescent="0.25">
      <c r="A415" t="s">
        <v>445</v>
      </c>
      <c r="B415" s="1">
        <v>43289</v>
      </c>
      <c r="C415" t="s">
        <v>30</v>
      </c>
      <c r="D415" t="s">
        <v>12</v>
      </c>
      <c r="E415">
        <v>21</v>
      </c>
      <c r="F415">
        <v>16</v>
      </c>
      <c r="G415">
        <v>336</v>
      </c>
      <c r="H415">
        <v>0.09</v>
      </c>
      <c r="I415">
        <v>30.24</v>
      </c>
      <c r="J415" t="s">
        <v>22</v>
      </c>
    </row>
    <row r="416" spans="1:10" x14ac:dyDescent="0.25">
      <c r="A416" t="s">
        <v>446</v>
      </c>
      <c r="B416" s="1">
        <v>43289</v>
      </c>
      <c r="C416" t="s">
        <v>11</v>
      </c>
      <c r="D416" t="s">
        <v>27</v>
      </c>
      <c r="E416">
        <v>7</v>
      </c>
      <c r="F416">
        <v>80</v>
      </c>
      <c r="G416">
        <v>560</v>
      </c>
      <c r="H416">
        <v>7.0000000000000007E-2</v>
      </c>
      <c r="I416">
        <v>39.200000000000003</v>
      </c>
      <c r="J416" t="s">
        <v>25</v>
      </c>
    </row>
    <row r="417" spans="1:10" x14ac:dyDescent="0.25">
      <c r="A417" t="s">
        <v>447</v>
      </c>
      <c r="B417" s="1">
        <v>43289</v>
      </c>
      <c r="C417" t="s">
        <v>34</v>
      </c>
      <c r="D417" t="s">
        <v>16</v>
      </c>
      <c r="E417">
        <v>23</v>
      </c>
      <c r="F417">
        <v>150</v>
      </c>
      <c r="G417">
        <v>3450</v>
      </c>
      <c r="H417">
        <v>0.11</v>
      </c>
      <c r="I417">
        <v>379.5</v>
      </c>
      <c r="J417" t="s">
        <v>28</v>
      </c>
    </row>
    <row r="418" spans="1:10" x14ac:dyDescent="0.25">
      <c r="A418" t="s">
        <v>448</v>
      </c>
      <c r="B418" s="1">
        <v>43290</v>
      </c>
      <c r="C418" t="s">
        <v>34</v>
      </c>
      <c r="D418" t="s">
        <v>12</v>
      </c>
      <c r="E418">
        <v>11</v>
      </c>
      <c r="F418">
        <v>150</v>
      </c>
      <c r="G418">
        <v>1650</v>
      </c>
      <c r="H418">
        <v>0.05</v>
      </c>
      <c r="I418">
        <v>82.5</v>
      </c>
      <c r="J418" t="s">
        <v>32</v>
      </c>
    </row>
    <row r="419" spans="1:10" x14ac:dyDescent="0.25">
      <c r="A419" t="s">
        <v>449</v>
      </c>
      <c r="B419" s="1">
        <v>43290</v>
      </c>
      <c r="C419" t="s">
        <v>11</v>
      </c>
      <c r="D419" t="s">
        <v>31</v>
      </c>
      <c r="E419">
        <v>16</v>
      </c>
      <c r="F419">
        <v>80</v>
      </c>
      <c r="G419">
        <v>1280</v>
      </c>
      <c r="H419">
        <v>0.05</v>
      </c>
      <c r="I419">
        <v>64</v>
      </c>
      <c r="J419" t="s">
        <v>35</v>
      </c>
    </row>
    <row r="420" spans="1:10" x14ac:dyDescent="0.25">
      <c r="A420" t="s">
        <v>450</v>
      </c>
      <c r="B420" s="1">
        <v>43290</v>
      </c>
      <c r="C420" t="s">
        <v>19</v>
      </c>
      <c r="D420" t="s">
        <v>24</v>
      </c>
      <c r="E420">
        <v>5</v>
      </c>
      <c r="F420">
        <v>230</v>
      </c>
      <c r="G420">
        <v>1150</v>
      </c>
      <c r="H420">
        <v>0.1</v>
      </c>
      <c r="I420">
        <v>115</v>
      </c>
      <c r="J420" t="s">
        <v>37</v>
      </c>
    </row>
    <row r="421" spans="1:10" x14ac:dyDescent="0.25">
      <c r="A421" t="s">
        <v>451</v>
      </c>
      <c r="B421" s="1">
        <v>43290</v>
      </c>
      <c r="C421" t="s">
        <v>30</v>
      </c>
      <c r="D421" t="s">
        <v>12</v>
      </c>
      <c r="E421">
        <v>22</v>
      </c>
      <c r="F421">
        <v>16</v>
      </c>
      <c r="G421">
        <v>352</v>
      </c>
      <c r="H421">
        <v>0.01</v>
      </c>
      <c r="I421">
        <v>3.52</v>
      </c>
      <c r="J421" t="s">
        <v>39</v>
      </c>
    </row>
    <row r="422" spans="1:10" x14ac:dyDescent="0.25">
      <c r="A422" t="s">
        <v>452</v>
      </c>
      <c r="B422" s="1">
        <v>43290</v>
      </c>
      <c r="C422" t="s">
        <v>15</v>
      </c>
      <c r="D422" t="s">
        <v>31</v>
      </c>
      <c r="E422">
        <v>7</v>
      </c>
      <c r="F422">
        <v>40</v>
      </c>
      <c r="G422">
        <v>280</v>
      </c>
      <c r="H422">
        <v>0.12</v>
      </c>
      <c r="I422">
        <v>33.6</v>
      </c>
      <c r="J422" t="s">
        <v>13</v>
      </c>
    </row>
    <row r="423" spans="1:10" x14ac:dyDescent="0.25">
      <c r="A423" t="s">
        <v>453</v>
      </c>
      <c r="B423" s="1">
        <v>43290</v>
      </c>
      <c r="C423" t="s">
        <v>11</v>
      </c>
      <c r="D423" t="s">
        <v>16</v>
      </c>
      <c r="E423">
        <v>2</v>
      </c>
      <c r="F423">
        <v>80</v>
      </c>
      <c r="G423">
        <v>160</v>
      </c>
      <c r="H423">
        <v>0.04</v>
      </c>
      <c r="I423">
        <v>6.4</v>
      </c>
      <c r="J423" t="s">
        <v>17</v>
      </c>
    </row>
    <row r="424" spans="1:10" x14ac:dyDescent="0.25">
      <c r="A424" t="s">
        <v>454</v>
      </c>
      <c r="B424" s="1">
        <v>43290</v>
      </c>
      <c r="C424" t="s">
        <v>15</v>
      </c>
      <c r="D424" t="s">
        <v>27</v>
      </c>
      <c r="E424">
        <v>6</v>
      </c>
      <c r="F424">
        <v>40</v>
      </c>
      <c r="G424">
        <v>240</v>
      </c>
      <c r="H424">
        <v>7.0000000000000007E-2</v>
      </c>
      <c r="I424">
        <v>16.8</v>
      </c>
      <c r="J424" t="s">
        <v>20</v>
      </c>
    </row>
    <row r="425" spans="1:10" x14ac:dyDescent="0.25">
      <c r="A425" t="s">
        <v>455</v>
      </c>
      <c r="B425" s="1">
        <v>43290</v>
      </c>
      <c r="C425" t="s">
        <v>11</v>
      </c>
      <c r="D425" t="s">
        <v>24</v>
      </c>
      <c r="E425">
        <v>6</v>
      </c>
      <c r="F425">
        <v>80</v>
      </c>
      <c r="G425">
        <v>480</v>
      </c>
      <c r="H425">
        <v>0.01</v>
      </c>
      <c r="I425">
        <v>4.8</v>
      </c>
      <c r="J425" t="s">
        <v>22</v>
      </c>
    </row>
    <row r="426" spans="1:10" x14ac:dyDescent="0.25">
      <c r="A426" t="s">
        <v>456</v>
      </c>
      <c r="B426" s="1">
        <v>43290</v>
      </c>
      <c r="C426" t="s">
        <v>30</v>
      </c>
      <c r="D426" t="s">
        <v>16</v>
      </c>
      <c r="E426">
        <v>22</v>
      </c>
      <c r="F426">
        <v>16</v>
      </c>
      <c r="G426">
        <v>352</v>
      </c>
      <c r="H426">
        <v>0.01</v>
      </c>
      <c r="I426">
        <v>3.52</v>
      </c>
      <c r="J426" t="s">
        <v>25</v>
      </c>
    </row>
    <row r="427" spans="1:10" x14ac:dyDescent="0.25">
      <c r="A427" t="s">
        <v>457</v>
      </c>
      <c r="B427" s="1">
        <v>43290</v>
      </c>
      <c r="C427" t="s">
        <v>19</v>
      </c>
      <c r="D427" t="s">
        <v>27</v>
      </c>
      <c r="E427">
        <v>7</v>
      </c>
      <c r="F427">
        <v>230</v>
      </c>
      <c r="G427">
        <v>1610</v>
      </c>
      <c r="H427">
        <v>0.06</v>
      </c>
      <c r="I427">
        <v>96.6</v>
      </c>
      <c r="J427" t="s">
        <v>28</v>
      </c>
    </row>
    <row r="428" spans="1:10" x14ac:dyDescent="0.25">
      <c r="A428" t="s">
        <v>458</v>
      </c>
      <c r="B428" s="1">
        <v>43291</v>
      </c>
      <c r="C428" t="s">
        <v>30</v>
      </c>
      <c r="D428" t="s">
        <v>27</v>
      </c>
      <c r="E428">
        <v>22</v>
      </c>
      <c r="F428">
        <v>16</v>
      </c>
      <c r="G428">
        <v>352</v>
      </c>
      <c r="H428">
        <v>0.03</v>
      </c>
      <c r="I428">
        <v>10.559999999999999</v>
      </c>
      <c r="J428" t="s">
        <v>32</v>
      </c>
    </row>
    <row r="429" spans="1:10" x14ac:dyDescent="0.25">
      <c r="A429" t="s">
        <v>459</v>
      </c>
      <c r="B429" s="1">
        <v>43291</v>
      </c>
      <c r="C429" t="s">
        <v>15</v>
      </c>
      <c r="D429" t="s">
        <v>31</v>
      </c>
      <c r="E429">
        <v>20</v>
      </c>
      <c r="F429">
        <v>40</v>
      </c>
      <c r="G429">
        <v>800</v>
      </c>
      <c r="H429">
        <v>0.05</v>
      </c>
      <c r="I429">
        <v>40</v>
      </c>
      <c r="J429" t="s">
        <v>35</v>
      </c>
    </row>
    <row r="430" spans="1:10" x14ac:dyDescent="0.25">
      <c r="A430" t="s">
        <v>460</v>
      </c>
      <c r="B430" s="1">
        <v>43291</v>
      </c>
      <c r="C430" t="s">
        <v>15</v>
      </c>
      <c r="D430" t="s">
        <v>16</v>
      </c>
      <c r="E430">
        <v>19</v>
      </c>
      <c r="F430">
        <v>40</v>
      </c>
      <c r="G430">
        <v>760</v>
      </c>
      <c r="H430">
        <v>0.1</v>
      </c>
      <c r="I430">
        <v>76</v>
      </c>
      <c r="J430" t="s">
        <v>37</v>
      </c>
    </row>
    <row r="431" spans="1:10" x14ac:dyDescent="0.25">
      <c r="A431" t="s">
        <v>461</v>
      </c>
      <c r="B431" s="1">
        <v>43291</v>
      </c>
      <c r="C431" t="s">
        <v>30</v>
      </c>
      <c r="D431" t="s">
        <v>12</v>
      </c>
      <c r="E431">
        <v>18</v>
      </c>
      <c r="F431">
        <v>16</v>
      </c>
      <c r="G431">
        <v>288</v>
      </c>
      <c r="H431">
        <v>0.05</v>
      </c>
      <c r="I431">
        <v>14.4</v>
      </c>
      <c r="J431" t="s">
        <v>39</v>
      </c>
    </row>
    <row r="432" spans="1:10" x14ac:dyDescent="0.25">
      <c r="A432" t="s">
        <v>462</v>
      </c>
      <c r="B432" s="1">
        <v>43291</v>
      </c>
      <c r="C432" t="s">
        <v>15</v>
      </c>
      <c r="D432" t="s">
        <v>24</v>
      </c>
      <c r="E432">
        <v>2</v>
      </c>
      <c r="F432">
        <v>40</v>
      </c>
      <c r="G432">
        <v>80</v>
      </c>
      <c r="H432">
        <v>0.02</v>
      </c>
      <c r="I432">
        <v>1.6</v>
      </c>
      <c r="J432" t="s">
        <v>41</v>
      </c>
    </row>
    <row r="433" spans="1:10" x14ac:dyDescent="0.25">
      <c r="A433" t="s">
        <v>463</v>
      </c>
      <c r="B433" s="1">
        <v>43291</v>
      </c>
      <c r="C433" t="s">
        <v>15</v>
      </c>
      <c r="D433" t="s">
        <v>27</v>
      </c>
      <c r="E433">
        <v>7</v>
      </c>
      <c r="F433">
        <v>40</v>
      </c>
      <c r="G433">
        <v>280</v>
      </c>
      <c r="H433">
        <v>7.0000000000000007E-2</v>
      </c>
      <c r="I433">
        <v>19.600000000000001</v>
      </c>
      <c r="J433" t="s">
        <v>43</v>
      </c>
    </row>
    <row r="434" spans="1:10" x14ac:dyDescent="0.25">
      <c r="A434" t="s">
        <v>464</v>
      </c>
      <c r="B434" s="1">
        <v>43291</v>
      </c>
      <c r="C434" t="s">
        <v>34</v>
      </c>
      <c r="D434" t="s">
        <v>24</v>
      </c>
      <c r="E434">
        <v>11</v>
      </c>
      <c r="F434">
        <v>150</v>
      </c>
      <c r="G434">
        <v>1650</v>
      </c>
      <c r="H434">
        <v>0.05</v>
      </c>
      <c r="I434">
        <v>82.5</v>
      </c>
      <c r="J434" t="s">
        <v>13</v>
      </c>
    </row>
    <row r="435" spans="1:10" x14ac:dyDescent="0.25">
      <c r="A435" t="s">
        <v>465</v>
      </c>
      <c r="B435" s="1">
        <v>43291</v>
      </c>
      <c r="C435" t="s">
        <v>11</v>
      </c>
      <c r="D435" t="s">
        <v>16</v>
      </c>
      <c r="E435">
        <v>14</v>
      </c>
      <c r="F435">
        <v>80</v>
      </c>
      <c r="G435">
        <v>1120</v>
      </c>
      <c r="H435">
        <v>0.11</v>
      </c>
      <c r="I435">
        <v>123.2</v>
      </c>
      <c r="J435" t="s">
        <v>17</v>
      </c>
    </row>
    <row r="436" spans="1:10" x14ac:dyDescent="0.25">
      <c r="A436" t="s">
        <v>466</v>
      </c>
      <c r="B436" s="1">
        <v>43291</v>
      </c>
      <c r="C436" t="s">
        <v>15</v>
      </c>
      <c r="D436" t="s">
        <v>31</v>
      </c>
      <c r="E436">
        <v>7</v>
      </c>
      <c r="F436">
        <v>40</v>
      </c>
      <c r="G436">
        <v>280</v>
      </c>
      <c r="H436">
        <v>0.04</v>
      </c>
      <c r="I436">
        <v>11.200000000000001</v>
      </c>
      <c r="J436" t="s">
        <v>20</v>
      </c>
    </row>
    <row r="437" spans="1:10" x14ac:dyDescent="0.25">
      <c r="A437" t="s">
        <v>467</v>
      </c>
      <c r="B437" s="1">
        <v>43291</v>
      </c>
      <c r="C437" t="s">
        <v>11</v>
      </c>
      <c r="D437" t="s">
        <v>27</v>
      </c>
      <c r="E437">
        <v>14</v>
      </c>
      <c r="F437">
        <v>80</v>
      </c>
      <c r="G437">
        <v>1120</v>
      </c>
      <c r="H437">
        <v>0.05</v>
      </c>
      <c r="I437">
        <v>56</v>
      </c>
      <c r="J437" t="s">
        <v>22</v>
      </c>
    </row>
    <row r="438" spans="1:10" x14ac:dyDescent="0.25">
      <c r="A438" t="s">
        <v>468</v>
      </c>
      <c r="B438" s="1">
        <v>43292</v>
      </c>
      <c r="C438" t="s">
        <v>30</v>
      </c>
      <c r="D438" t="s">
        <v>24</v>
      </c>
      <c r="E438">
        <v>12</v>
      </c>
      <c r="F438">
        <v>16</v>
      </c>
      <c r="G438">
        <v>192</v>
      </c>
      <c r="H438">
        <v>0.11</v>
      </c>
      <c r="I438">
        <v>21.12</v>
      </c>
      <c r="J438" t="s">
        <v>25</v>
      </c>
    </row>
    <row r="439" spans="1:10" x14ac:dyDescent="0.25">
      <c r="A439" t="s">
        <v>469</v>
      </c>
      <c r="B439" s="1">
        <v>43292</v>
      </c>
      <c r="C439" t="s">
        <v>15</v>
      </c>
      <c r="D439" t="s">
        <v>31</v>
      </c>
      <c r="E439">
        <v>11</v>
      </c>
      <c r="F439">
        <v>40</v>
      </c>
      <c r="G439">
        <v>440</v>
      </c>
      <c r="H439">
        <v>0.05</v>
      </c>
      <c r="I439">
        <v>22</v>
      </c>
      <c r="J439" t="s">
        <v>28</v>
      </c>
    </row>
    <row r="440" spans="1:10" x14ac:dyDescent="0.25">
      <c r="A440" t="s">
        <v>470</v>
      </c>
      <c r="B440" s="1">
        <v>43292</v>
      </c>
      <c r="C440" t="s">
        <v>30</v>
      </c>
      <c r="D440" t="s">
        <v>24</v>
      </c>
      <c r="E440">
        <v>14</v>
      </c>
      <c r="F440">
        <v>16</v>
      </c>
      <c r="G440">
        <v>224</v>
      </c>
      <c r="H440">
        <v>0.01</v>
      </c>
      <c r="I440">
        <v>2.2400000000000002</v>
      </c>
      <c r="J440" t="s">
        <v>32</v>
      </c>
    </row>
    <row r="441" spans="1:10" x14ac:dyDescent="0.25">
      <c r="A441" t="s">
        <v>471</v>
      </c>
      <c r="B441" s="1">
        <v>43292</v>
      </c>
      <c r="C441" t="s">
        <v>19</v>
      </c>
      <c r="D441" t="s">
        <v>27</v>
      </c>
      <c r="E441">
        <v>2</v>
      </c>
      <c r="F441">
        <v>230</v>
      </c>
      <c r="G441">
        <v>460</v>
      </c>
      <c r="H441">
        <v>0.08</v>
      </c>
      <c r="I441">
        <v>36.800000000000004</v>
      </c>
      <c r="J441" t="s">
        <v>35</v>
      </c>
    </row>
    <row r="442" spans="1:10" x14ac:dyDescent="0.25">
      <c r="A442" t="s">
        <v>472</v>
      </c>
      <c r="B442" s="1">
        <v>43292</v>
      </c>
      <c r="C442" t="s">
        <v>30</v>
      </c>
      <c r="D442" t="s">
        <v>12</v>
      </c>
      <c r="E442">
        <v>20</v>
      </c>
      <c r="F442">
        <v>16</v>
      </c>
      <c r="G442">
        <v>320</v>
      </c>
      <c r="H442">
        <v>0.11</v>
      </c>
      <c r="I442">
        <v>35.200000000000003</v>
      </c>
      <c r="J442" t="s">
        <v>37</v>
      </c>
    </row>
    <row r="443" spans="1:10" x14ac:dyDescent="0.25">
      <c r="A443" t="s">
        <v>473</v>
      </c>
      <c r="B443" s="1">
        <v>43292</v>
      </c>
      <c r="C443" t="s">
        <v>30</v>
      </c>
      <c r="D443" t="s">
        <v>24</v>
      </c>
      <c r="E443">
        <v>6</v>
      </c>
      <c r="F443">
        <v>16</v>
      </c>
      <c r="G443">
        <v>96</v>
      </c>
      <c r="H443">
        <v>0.06</v>
      </c>
      <c r="I443">
        <v>5.76</v>
      </c>
      <c r="J443" t="s">
        <v>39</v>
      </c>
    </row>
    <row r="444" spans="1:10" x14ac:dyDescent="0.25">
      <c r="A444" t="s">
        <v>474</v>
      </c>
      <c r="B444" s="1">
        <v>43292</v>
      </c>
      <c r="C444" t="s">
        <v>11</v>
      </c>
      <c r="D444" t="s">
        <v>27</v>
      </c>
      <c r="E444">
        <v>17</v>
      </c>
      <c r="F444">
        <v>80</v>
      </c>
      <c r="G444">
        <v>1360</v>
      </c>
      <c r="H444">
        <v>0.05</v>
      </c>
      <c r="I444">
        <v>68</v>
      </c>
      <c r="J444" t="s">
        <v>41</v>
      </c>
    </row>
    <row r="445" spans="1:10" x14ac:dyDescent="0.25">
      <c r="A445" t="s">
        <v>475</v>
      </c>
      <c r="B445" s="1">
        <v>43292</v>
      </c>
      <c r="C445" t="s">
        <v>15</v>
      </c>
      <c r="D445" t="s">
        <v>12</v>
      </c>
      <c r="E445">
        <v>2</v>
      </c>
      <c r="F445">
        <v>40</v>
      </c>
      <c r="G445">
        <v>80</v>
      </c>
      <c r="H445">
        <v>0.12</v>
      </c>
      <c r="I445">
        <v>9.6</v>
      </c>
      <c r="J445" t="s">
        <v>43</v>
      </c>
    </row>
    <row r="446" spans="1:10" x14ac:dyDescent="0.25">
      <c r="A446" t="s">
        <v>476</v>
      </c>
      <c r="B446" s="1">
        <v>43292</v>
      </c>
      <c r="C446" t="s">
        <v>30</v>
      </c>
      <c r="D446" t="s">
        <v>12</v>
      </c>
      <c r="E446">
        <v>7</v>
      </c>
      <c r="F446">
        <v>16</v>
      </c>
      <c r="G446">
        <v>112</v>
      </c>
      <c r="H446">
        <v>0.12</v>
      </c>
      <c r="I446">
        <v>13.44</v>
      </c>
      <c r="J446" t="s">
        <v>13</v>
      </c>
    </row>
    <row r="447" spans="1:10" x14ac:dyDescent="0.25">
      <c r="A447" t="s">
        <v>477</v>
      </c>
      <c r="B447" s="1">
        <v>43292</v>
      </c>
      <c r="C447" t="s">
        <v>34</v>
      </c>
      <c r="D447" t="s">
        <v>12</v>
      </c>
      <c r="E447">
        <v>7</v>
      </c>
      <c r="F447">
        <v>150</v>
      </c>
      <c r="G447">
        <v>1050</v>
      </c>
      <c r="H447">
        <v>0.02</v>
      </c>
      <c r="I447">
        <v>21</v>
      </c>
      <c r="J447" t="s">
        <v>17</v>
      </c>
    </row>
    <row r="448" spans="1:10" x14ac:dyDescent="0.25">
      <c r="A448" t="s">
        <v>478</v>
      </c>
      <c r="B448" s="1">
        <v>43292</v>
      </c>
      <c r="C448" t="s">
        <v>11</v>
      </c>
      <c r="D448" t="s">
        <v>12</v>
      </c>
      <c r="E448">
        <v>20</v>
      </c>
      <c r="F448">
        <v>80</v>
      </c>
      <c r="G448">
        <v>1600</v>
      </c>
      <c r="H448">
        <v>0.01</v>
      </c>
      <c r="I448">
        <v>16</v>
      </c>
      <c r="J448" t="s">
        <v>20</v>
      </c>
    </row>
    <row r="449" spans="1:10" x14ac:dyDescent="0.25">
      <c r="A449" t="s">
        <v>479</v>
      </c>
      <c r="B449" s="1">
        <v>43292</v>
      </c>
      <c r="C449" t="s">
        <v>11</v>
      </c>
      <c r="D449" t="s">
        <v>27</v>
      </c>
      <c r="E449">
        <v>11</v>
      </c>
      <c r="F449">
        <v>80</v>
      </c>
      <c r="G449">
        <v>880</v>
      </c>
      <c r="H449">
        <v>0.01</v>
      </c>
      <c r="I449">
        <v>8.8000000000000007</v>
      </c>
      <c r="J449" t="s">
        <v>22</v>
      </c>
    </row>
    <row r="450" spans="1:10" x14ac:dyDescent="0.25">
      <c r="A450" t="s">
        <v>480</v>
      </c>
      <c r="B450" s="1">
        <v>43292</v>
      </c>
      <c r="C450" t="s">
        <v>11</v>
      </c>
      <c r="D450" t="s">
        <v>24</v>
      </c>
      <c r="E450">
        <v>10</v>
      </c>
      <c r="F450">
        <v>80</v>
      </c>
      <c r="G450">
        <v>800</v>
      </c>
      <c r="H450">
        <v>0.08</v>
      </c>
      <c r="I450">
        <v>64</v>
      </c>
      <c r="J450" t="s">
        <v>25</v>
      </c>
    </row>
    <row r="451" spans="1:10" x14ac:dyDescent="0.25">
      <c r="A451" t="s">
        <v>481</v>
      </c>
      <c r="B451" s="1">
        <v>43293</v>
      </c>
      <c r="C451" t="s">
        <v>11</v>
      </c>
      <c r="D451" t="s">
        <v>16</v>
      </c>
      <c r="E451">
        <v>5</v>
      </c>
      <c r="F451">
        <v>80</v>
      </c>
      <c r="G451">
        <v>400</v>
      </c>
      <c r="H451">
        <v>0.04</v>
      </c>
      <c r="I451">
        <v>16</v>
      </c>
      <c r="J451" t="s">
        <v>28</v>
      </c>
    </row>
    <row r="452" spans="1:10" x14ac:dyDescent="0.25">
      <c r="A452" t="s">
        <v>482</v>
      </c>
      <c r="B452" s="1">
        <v>43293</v>
      </c>
      <c r="C452" t="s">
        <v>11</v>
      </c>
      <c r="D452" t="s">
        <v>27</v>
      </c>
      <c r="E452">
        <v>4</v>
      </c>
      <c r="F452">
        <v>80</v>
      </c>
      <c r="G452">
        <v>320</v>
      </c>
      <c r="H452">
        <v>0.11</v>
      </c>
      <c r="I452">
        <v>35.200000000000003</v>
      </c>
      <c r="J452" t="s">
        <v>32</v>
      </c>
    </row>
    <row r="453" spans="1:10" x14ac:dyDescent="0.25">
      <c r="A453" t="s">
        <v>483</v>
      </c>
      <c r="B453" s="1">
        <v>43293</v>
      </c>
      <c r="C453" t="s">
        <v>30</v>
      </c>
      <c r="D453" t="s">
        <v>24</v>
      </c>
      <c r="E453">
        <v>3</v>
      </c>
      <c r="F453">
        <v>16</v>
      </c>
      <c r="G453">
        <v>48</v>
      </c>
      <c r="H453">
        <v>0.05</v>
      </c>
      <c r="I453">
        <v>2.4000000000000004</v>
      </c>
      <c r="J453" t="s">
        <v>35</v>
      </c>
    </row>
    <row r="454" spans="1:10" x14ac:dyDescent="0.25">
      <c r="A454" t="s">
        <v>484</v>
      </c>
      <c r="B454" s="1">
        <v>43293</v>
      </c>
      <c r="C454" t="s">
        <v>11</v>
      </c>
      <c r="D454" t="s">
        <v>12</v>
      </c>
      <c r="E454">
        <v>9</v>
      </c>
      <c r="F454">
        <v>80</v>
      </c>
      <c r="G454">
        <v>720</v>
      </c>
      <c r="H454">
        <v>0.04</v>
      </c>
      <c r="I454">
        <v>28.8</v>
      </c>
      <c r="J454" t="s">
        <v>37</v>
      </c>
    </row>
    <row r="455" spans="1:10" x14ac:dyDescent="0.25">
      <c r="A455" t="s">
        <v>485</v>
      </c>
      <c r="B455" s="1">
        <v>43293</v>
      </c>
      <c r="C455" t="s">
        <v>11</v>
      </c>
      <c r="D455" t="s">
        <v>31</v>
      </c>
      <c r="E455">
        <v>16</v>
      </c>
      <c r="F455">
        <v>80</v>
      </c>
      <c r="G455">
        <v>1280</v>
      </c>
      <c r="H455">
        <v>0.09</v>
      </c>
      <c r="I455">
        <v>115.19999999999999</v>
      </c>
      <c r="J455" t="s">
        <v>39</v>
      </c>
    </row>
    <row r="456" spans="1:10" x14ac:dyDescent="0.25">
      <c r="A456" t="s">
        <v>486</v>
      </c>
      <c r="B456" s="1">
        <v>43294</v>
      </c>
      <c r="C456" t="s">
        <v>30</v>
      </c>
      <c r="D456" t="s">
        <v>16</v>
      </c>
      <c r="E456">
        <v>7</v>
      </c>
      <c r="F456">
        <v>16</v>
      </c>
      <c r="G456">
        <v>112</v>
      </c>
      <c r="H456">
        <v>0.08</v>
      </c>
      <c r="I456">
        <v>8.9600000000000009</v>
      </c>
      <c r="J456" t="s">
        <v>41</v>
      </c>
    </row>
    <row r="457" spans="1:10" x14ac:dyDescent="0.25">
      <c r="A457" t="s">
        <v>487</v>
      </c>
      <c r="B457" s="1">
        <v>43294</v>
      </c>
      <c r="C457" t="s">
        <v>34</v>
      </c>
      <c r="D457" t="s">
        <v>16</v>
      </c>
      <c r="E457">
        <v>16</v>
      </c>
      <c r="F457">
        <v>150</v>
      </c>
      <c r="G457">
        <v>2400</v>
      </c>
      <c r="H457">
        <v>0.05</v>
      </c>
      <c r="I457">
        <v>120</v>
      </c>
      <c r="J457" t="s">
        <v>43</v>
      </c>
    </row>
    <row r="458" spans="1:10" x14ac:dyDescent="0.25">
      <c r="A458" t="s">
        <v>488</v>
      </c>
      <c r="B458" s="1">
        <v>43294</v>
      </c>
      <c r="C458" t="s">
        <v>30</v>
      </c>
      <c r="D458" t="s">
        <v>27</v>
      </c>
      <c r="E458">
        <v>10</v>
      </c>
      <c r="F458">
        <v>16</v>
      </c>
      <c r="G458">
        <v>160</v>
      </c>
      <c r="H458">
        <v>0.04</v>
      </c>
      <c r="I458">
        <v>6.4</v>
      </c>
      <c r="J458" t="s">
        <v>13</v>
      </c>
    </row>
    <row r="459" spans="1:10" x14ac:dyDescent="0.25">
      <c r="A459" t="s">
        <v>489</v>
      </c>
      <c r="B459" s="1">
        <v>43294</v>
      </c>
      <c r="C459" t="s">
        <v>15</v>
      </c>
      <c r="D459" t="s">
        <v>16</v>
      </c>
      <c r="E459">
        <v>4</v>
      </c>
      <c r="F459">
        <v>40</v>
      </c>
      <c r="G459">
        <v>160</v>
      </c>
      <c r="H459">
        <v>0.03</v>
      </c>
      <c r="I459">
        <v>4.8</v>
      </c>
      <c r="J459" t="s">
        <v>17</v>
      </c>
    </row>
    <row r="460" spans="1:10" x14ac:dyDescent="0.25">
      <c r="A460" t="s">
        <v>490</v>
      </c>
      <c r="B460" s="1">
        <v>43294</v>
      </c>
      <c r="C460" t="s">
        <v>15</v>
      </c>
      <c r="D460" t="s">
        <v>16</v>
      </c>
      <c r="E460">
        <v>15</v>
      </c>
      <c r="F460">
        <v>40</v>
      </c>
      <c r="G460">
        <v>600</v>
      </c>
      <c r="H460">
        <v>0.02</v>
      </c>
      <c r="I460">
        <v>12</v>
      </c>
      <c r="J460" t="s">
        <v>20</v>
      </c>
    </row>
    <row r="461" spans="1:10" x14ac:dyDescent="0.25">
      <c r="A461" t="s">
        <v>491</v>
      </c>
      <c r="B461" s="1">
        <v>43294</v>
      </c>
      <c r="C461" t="s">
        <v>11</v>
      </c>
      <c r="D461" t="s">
        <v>24</v>
      </c>
      <c r="E461">
        <v>6</v>
      </c>
      <c r="F461">
        <v>80</v>
      </c>
      <c r="G461">
        <v>480</v>
      </c>
      <c r="H461">
        <v>0.09</v>
      </c>
      <c r="I461">
        <v>43.199999999999996</v>
      </c>
      <c r="J461" t="s">
        <v>22</v>
      </c>
    </row>
    <row r="462" spans="1:10" x14ac:dyDescent="0.25">
      <c r="A462" t="s">
        <v>492</v>
      </c>
      <c r="B462" s="1">
        <v>43294</v>
      </c>
      <c r="C462" t="s">
        <v>34</v>
      </c>
      <c r="D462" t="s">
        <v>12</v>
      </c>
      <c r="E462">
        <v>20</v>
      </c>
      <c r="F462">
        <v>150</v>
      </c>
      <c r="G462">
        <v>3000</v>
      </c>
      <c r="H462">
        <v>0.01</v>
      </c>
      <c r="I462">
        <v>30</v>
      </c>
      <c r="J462" t="s">
        <v>25</v>
      </c>
    </row>
    <row r="463" spans="1:10" x14ac:dyDescent="0.25">
      <c r="A463" t="s">
        <v>493</v>
      </c>
      <c r="B463" s="1">
        <v>43294</v>
      </c>
      <c r="C463" t="s">
        <v>30</v>
      </c>
      <c r="D463" t="s">
        <v>12</v>
      </c>
      <c r="E463">
        <v>7</v>
      </c>
      <c r="F463">
        <v>16</v>
      </c>
      <c r="G463">
        <v>112</v>
      </c>
      <c r="H463">
        <v>0.08</v>
      </c>
      <c r="I463">
        <v>8.9600000000000009</v>
      </c>
      <c r="J463" t="s">
        <v>28</v>
      </c>
    </row>
    <row r="464" spans="1:10" x14ac:dyDescent="0.25">
      <c r="A464" t="s">
        <v>494</v>
      </c>
      <c r="B464" s="1">
        <v>43294</v>
      </c>
      <c r="C464" t="s">
        <v>11</v>
      </c>
      <c r="D464" t="s">
        <v>16</v>
      </c>
      <c r="E464">
        <v>2</v>
      </c>
      <c r="F464">
        <v>80</v>
      </c>
      <c r="G464">
        <v>160</v>
      </c>
      <c r="H464">
        <v>7.0000000000000007E-2</v>
      </c>
      <c r="I464">
        <v>11.200000000000001</v>
      </c>
      <c r="J464" t="s">
        <v>32</v>
      </c>
    </row>
    <row r="465" spans="1:10" x14ac:dyDescent="0.25">
      <c r="A465" t="s">
        <v>495</v>
      </c>
      <c r="B465" s="1">
        <v>43294</v>
      </c>
      <c r="C465" t="s">
        <v>15</v>
      </c>
      <c r="D465" t="s">
        <v>16</v>
      </c>
      <c r="E465">
        <v>23</v>
      </c>
      <c r="F465">
        <v>40</v>
      </c>
      <c r="G465">
        <v>920</v>
      </c>
      <c r="H465">
        <v>0.06</v>
      </c>
      <c r="I465">
        <v>55.199999999999996</v>
      </c>
      <c r="J465" t="s">
        <v>35</v>
      </c>
    </row>
    <row r="466" spans="1:10" x14ac:dyDescent="0.25">
      <c r="A466" t="s">
        <v>496</v>
      </c>
      <c r="B466" s="1">
        <v>43294</v>
      </c>
      <c r="C466" t="s">
        <v>30</v>
      </c>
      <c r="D466" t="s">
        <v>12</v>
      </c>
      <c r="E466">
        <v>12</v>
      </c>
      <c r="F466">
        <v>16</v>
      </c>
      <c r="G466">
        <v>192</v>
      </c>
      <c r="H466">
        <v>0.11</v>
      </c>
      <c r="I466">
        <v>21.12</v>
      </c>
      <c r="J466" t="s">
        <v>37</v>
      </c>
    </row>
    <row r="467" spans="1:10" x14ac:dyDescent="0.25">
      <c r="A467" t="s">
        <v>497</v>
      </c>
      <c r="B467" s="1">
        <v>43294</v>
      </c>
      <c r="C467" t="s">
        <v>19</v>
      </c>
      <c r="D467" t="s">
        <v>27</v>
      </c>
      <c r="E467">
        <v>2</v>
      </c>
      <c r="F467">
        <v>230</v>
      </c>
      <c r="G467">
        <v>460</v>
      </c>
      <c r="H467">
        <v>0.09</v>
      </c>
      <c r="I467">
        <v>41.4</v>
      </c>
      <c r="J467" t="s">
        <v>39</v>
      </c>
    </row>
    <row r="468" spans="1:10" x14ac:dyDescent="0.25">
      <c r="A468" t="s">
        <v>498</v>
      </c>
      <c r="B468" s="1">
        <v>43294</v>
      </c>
      <c r="C468" t="s">
        <v>34</v>
      </c>
      <c r="D468" t="s">
        <v>12</v>
      </c>
      <c r="E468">
        <v>4</v>
      </c>
      <c r="F468">
        <v>150</v>
      </c>
      <c r="G468">
        <v>600</v>
      </c>
      <c r="H468">
        <v>0.06</v>
      </c>
      <c r="I468">
        <v>36</v>
      </c>
      <c r="J468" t="s">
        <v>41</v>
      </c>
    </row>
    <row r="469" spans="1:10" x14ac:dyDescent="0.25">
      <c r="A469" t="s">
        <v>499</v>
      </c>
      <c r="B469" s="1">
        <v>43294</v>
      </c>
      <c r="C469" t="s">
        <v>15</v>
      </c>
      <c r="D469" t="s">
        <v>12</v>
      </c>
      <c r="E469">
        <v>23</v>
      </c>
      <c r="F469">
        <v>40</v>
      </c>
      <c r="G469">
        <v>920</v>
      </c>
      <c r="H469">
        <v>7.0000000000000007E-2</v>
      </c>
      <c r="I469">
        <v>64.400000000000006</v>
      </c>
      <c r="J469" t="s">
        <v>43</v>
      </c>
    </row>
    <row r="470" spans="1:10" x14ac:dyDescent="0.25">
      <c r="A470" t="s">
        <v>500</v>
      </c>
      <c r="B470" s="1">
        <v>43294</v>
      </c>
      <c r="C470" t="s">
        <v>30</v>
      </c>
      <c r="D470" t="s">
        <v>31</v>
      </c>
      <c r="E470">
        <v>2</v>
      </c>
      <c r="F470">
        <v>16</v>
      </c>
      <c r="G470">
        <v>32</v>
      </c>
      <c r="H470">
        <v>0.04</v>
      </c>
      <c r="I470">
        <v>1.28</v>
      </c>
      <c r="J470" t="s">
        <v>13</v>
      </c>
    </row>
    <row r="471" spans="1:10" x14ac:dyDescent="0.25">
      <c r="A471" t="s">
        <v>501</v>
      </c>
      <c r="B471" s="1">
        <v>43294</v>
      </c>
      <c r="C471" t="s">
        <v>34</v>
      </c>
      <c r="D471" t="s">
        <v>27</v>
      </c>
      <c r="E471">
        <v>7</v>
      </c>
      <c r="F471">
        <v>150</v>
      </c>
      <c r="G471">
        <v>1050</v>
      </c>
      <c r="H471">
        <v>0.05</v>
      </c>
      <c r="I471">
        <v>52.5</v>
      </c>
      <c r="J471" t="s">
        <v>17</v>
      </c>
    </row>
    <row r="472" spans="1:10" x14ac:dyDescent="0.25">
      <c r="A472" t="s">
        <v>502</v>
      </c>
      <c r="B472" s="1">
        <v>43295</v>
      </c>
      <c r="C472" t="s">
        <v>15</v>
      </c>
      <c r="D472" t="s">
        <v>12</v>
      </c>
      <c r="E472">
        <v>15</v>
      </c>
      <c r="F472">
        <v>40</v>
      </c>
      <c r="G472">
        <v>600</v>
      </c>
      <c r="H472">
        <v>0.06</v>
      </c>
      <c r="I472">
        <v>36</v>
      </c>
      <c r="J472" t="s">
        <v>20</v>
      </c>
    </row>
    <row r="473" spans="1:10" x14ac:dyDescent="0.25">
      <c r="A473" t="s">
        <v>503</v>
      </c>
      <c r="B473" s="1">
        <v>43295</v>
      </c>
      <c r="C473" t="s">
        <v>11</v>
      </c>
      <c r="D473" t="s">
        <v>27</v>
      </c>
      <c r="E473">
        <v>16</v>
      </c>
      <c r="F473">
        <v>80</v>
      </c>
      <c r="G473">
        <v>1280</v>
      </c>
      <c r="H473">
        <v>0.05</v>
      </c>
      <c r="I473">
        <v>64</v>
      </c>
      <c r="J473" t="s">
        <v>22</v>
      </c>
    </row>
    <row r="474" spans="1:10" x14ac:dyDescent="0.25">
      <c r="A474" t="s">
        <v>504</v>
      </c>
      <c r="B474" s="1">
        <v>43295</v>
      </c>
      <c r="C474" t="s">
        <v>15</v>
      </c>
      <c r="D474" t="s">
        <v>31</v>
      </c>
      <c r="E474">
        <v>16</v>
      </c>
      <c r="F474">
        <v>40</v>
      </c>
      <c r="G474">
        <v>640</v>
      </c>
      <c r="H474">
        <v>0.11</v>
      </c>
      <c r="I474">
        <v>70.400000000000006</v>
      </c>
      <c r="J474" t="s">
        <v>25</v>
      </c>
    </row>
    <row r="475" spans="1:10" x14ac:dyDescent="0.25">
      <c r="A475" t="s">
        <v>505</v>
      </c>
      <c r="B475" s="1">
        <v>43295</v>
      </c>
      <c r="C475" t="s">
        <v>30</v>
      </c>
      <c r="D475" t="s">
        <v>31</v>
      </c>
      <c r="E475">
        <v>23</v>
      </c>
      <c r="F475">
        <v>16</v>
      </c>
      <c r="G475">
        <v>368</v>
      </c>
      <c r="H475">
        <v>0.01</v>
      </c>
      <c r="I475">
        <v>3.68</v>
      </c>
      <c r="J475" t="s">
        <v>28</v>
      </c>
    </row>
    <row r="476" spans="1:10" x14ac:dyDescent="0.25">
      <c r="A476" t="s">
        <v>506</v>
      </c>
      <c r="B476" s="1">
        <v>43295</v>
      </c>
      <c r="C476" t="s">
        <v>19</v>
      </c>
      <c r="D476" t="s">
        <v>16</v>
      </c>
      <c r="E476">
        <v>12</v>
      </c>
      <c r="F476">
        <v>230</v>
      </c>
      <c r="G476">
        <v>2760</v>
      </c>
      <c r="H476">
        <v>0.03</v>
      </c>
      <c r="I476">
        <v>82.8</v>
      </c>
      <c r="J476" t="s">
        <v>32</v>
      </c>
    </row>
    <row r="477" spans="1:10" x14ac:dyDescent="0.25">
      <c r="A477" t="s">
        <v>507</v>
      </c>
      <c r="B477" s="1">
        <v>43295</v>
      </c>
      <c r="C477" t="s">
        <v>30</v>
      </c>
      <c r="D477" t="s">
        <v>12</v>
      </c>
      <c r="E477">
        <v>4</v>
      </c>
      <c r="F477">
        <v>16</v>
      </c>
      <c r="G477">
        <v>64</v>
      </c>
      <c r="H477">
        <v>0.12</v>
      </c>
      <c r="I477">
        <v>7.68</v>
      </c>
      <c r="J477" t="s">
        <v>35</v>
      </c>
    </row>
    <row r="478" spans="1:10" x14ac:dyDescent="0.25">
      <c r="A478" t="s">
        <v>508</v>
      </c>
      <c r="B478" s="1">
        <v>43295</v>
      </c>
      <c r="C478" t="s">
        <v>34</v>
      </c>
      <c r="D478" t="s">
        <v>27</v>
      </c>
      <c r="E478">
        <v>3</v>
      </c>
      <c r="F478">
        <v>150</v>
      </c>
      <c r="G478">
        <v>450</v>
      </c>
      <c r="H478">
        <v>0.01</v>
      </c>
      <c r="I478">
        <v>4.5</v>
      </c>
      <c r="J478" t="s">
        <v>37</v>
      </c>
    </row>
    <row r="479" spans="1:10" x14ac:dyDescent="0.25">
      <c r="A479" t="s">
        <v>509</v>
      </c>
      <c r="B479" s="1">
        <v>43295</v>
      </c>
      <c r="C479" t="s">
        <v>34</v>
      </c>
      <c r="D479" t="s">
        <v>16</v>
      </c>
      <c r="E479">
        <v>10</v>
      </c>
      <c r="F479">
        <v>150</v>
      </c>
      <c r="G479">
        <v>1500</v>
      </c>
      <c r="H479">
        <v>0.01</v>
      </c>
      <c r="I479">
        <v>15</v>
      </c>
      <c r="J479" t="s">
        <v>39</v>
      </c>
    </row>
    <row r="480" spans="1:10" x14ac:dyDescent="0.25">
      <c r="A480" t="s">
        <v>510</v>
      </c>
      <c r="B480" s="1">
        <v>43295</v>
      </c>
      <c r="C480" t="s">
        <v>11</v>
      </c>
      <c r="D480" t="s">
        <v>16</v>
      </c>
      <c r="E480">
        <v>13</v>
      </c>
      <c r="F480">
        <v>80</v>
      </c>
      <c r="G480">
        <v>1040</v>
      </c>
      <c r="H480">
        <v>0.06</v>
      </c>
      <c r="I480">
        <v>62.4</v>
      </c>
      <c r="J480" t="s">
        <v>41</v>
      </c>
    </row>
    <row r="481" spans="1:10" x14ac:dyDescent="0.25">
      <c r="A481" t="s">
        <v>511</v>
      </c>
      <c r="B481" s="1">
        <v>43295</v>
      </c>
      <c r="C481" t="s">
        <v>19</v>
      </c>
      <c r="D481" t="s">
        <v>24</v>
      </c>
      <c r="E481">
        <v>15</v>
      </c>
      <c r="F481">
        <v>230</v>
      </c>
      <c r="G481">
        <v>3450</v>
      </c>
      <c r="H481">
        <v>0.04</v>
      </c>
      <c r="I481">
        <v>138</v>
      </c>
      <c r="J481" t="s">
        <v>43</v>
      </c>
    </row>
    <row r="482" spans="1:10" x14ac:dyDescent="0.25">
      <c r="A482" t="s">
        <v>512</v>
      </c>
      <c r="B482" s="1">
        <v>43295</v>
      </c>
      <c r="C482" t="s">
        <v>34</v>
      </c>
      <c r="D482" t="s">
        <v>12</v>
      </c>
      <c r="E482">
        <v>23</v>
      </c>
      <c r="F482">
        <v>150</v>
      </c>
      <c r="G482">
        <v>3450</v>
      </c>
      <c r="H482">
        <v>0.1</v>
      </c>
      <c r="I482">
        <v>345</v>
      </c>
      <c r="J482" t="s">
        <v>13</v>
      </c>
    </row>
    <row r="483" spans="1:10" x14ac:dyDescent="0.25">
      <c r="A483" t="s">
        <v>513</v>
      </c>
      <c r="B483" s="1">
        <v>43295</v>
      </c>
      <c r="C483" t="s">
        <v>34</v>
      </c>
      <c r="D483" t="s">
        <v>16</v>
      </c>
      <c r="E483">
        <v>15</v>
      </c>
      <c r="F483">
        <v>150</v>
      </c>
      <c r="G483">
        <v>2250</v>
      </c>
      <c r="H483">
        <v>0.12</v>
      </c>
      <c r="I483">
        <v>270</v>
      </c>
      <c r="J483" t="s">
        <v>17</v>
      </c>
    </row>
    <row r="484" spans="1:10" x14ac:dyDescent="0.25">
      <c r="A484" t="s">
        <v>514</v>
      </c>
      <c r="B484" s="1">
        <v>43295</v>
      </c>
      <c r="C484" t="s">
        <v>34</v>
      </c>
      <c r="D484" t="s">
        <v>24</v>
      </c>
      <c r="E484">
        <v>20</v>
      </c>
      <c r="F484">
        <v>150</v>
      </c>
      <c r="G484">
        <v>3000</v>
      </c>
      <c r="H484">
        <v>0.12</v>
      </c>
      <c r="I484">
        <v>360</v>
      </c>
      <c r="J484" t="s">
        <v>20</v>
      </c>
    </row>
    <row r="485" spans="1:10" x14ac:dyDescent="0.25">
      <c r="A485" t="s">
        <v>515</v>
      </c>
      <c r="B485" s="1">
        <v>43295</v>
      </c>
      <c r="C485" t="s">
        <v>15</v>
      </c>
      <c r="D485" t="s">
        <v>27</v>
      </c>
      <c r="E485">
        <v>13</v>
      </c>
      <c r="F485">
        <v>40</v>
      </c>
      <c r="G485">
        <v>520</v>
      </c>
      <c r="H485">
        <v>0.09</v>
      </c>
      <c r="I485">
        <v>46.8</v>
      </c>
      <c r="J485" t="s">
        <v>22</v>
      </c>
    </row>
    <row r="486" spans="1:10" x14ac:dyDescent="0.25">
      <c r="A486" t="s">
        <v>516</v>
      </c>
      <c r="B486" s="1">
        <v>43296</v>
      </c>
      <c r="C486" t="s">
        <v>30</v>
      </c>
      <c r="D486" t="s">
        <v>24</v>
      </c>
      <c r="E486">
        <v>11</v>
      </c>
      <c r="F486">
        <v>16</v>
      </c>
      <c r="G486">
        <v>176</v>
      </c>
      <c r="H486">
        <v>0.04</v>
      </c>
      <c r="I486">
        <v>7.04</v>
      </c>
      <c r="J486" t="s">
        <v>25</v>
      </c>
    </row>
    <row r="487" spans="1:10" x14ac:dyDescent="0.25">
      <c r="A487" t="s">
        <v>517</v>
      </c>
      <c r="B487" s="1">
        <v>43296</v>
      </c>
      <c r="C487" t="s">
        <v>34</v>
      </c>
      <c r="D487" t="s">
        <v>24</v>
      </c>
      <c r="E487">
        <v>20</v>
      </c>
      <c r="F487">
        <v>150</v>
      </c>
      <c r="G487">
        <v>3000</v>
      </c>
      <c r="H487">
        <v>0.04</v>
      </c>
      <c r="I487">
        <v>120</v>
      </c>
      <c r="J487" t="s">
        <v>28</v>
      </c>
    </row>
    <row r="488" spans="1:10" x14ac:dyDescent="0.25">
      <c r="A488" t="s">
        <v>518</v>
      </c>
      <c r="B488" s="1">
        <v>43296</v>
      </c>
      <c r="C488" t="s">
        <v>15</v>
      </c>
      <c r="D488" t="s">
        <v>12</v>
      </c>
      <c r="E488">
        <v>18</v>
      </c>
      <c r="F488">
        <v>40</v>
      </c>
      <c r="G488">
        <v>720</v>
      </c>
      <c r="H488">
        <v>0.11</v>
      </c>
      <c r="I488">
        <v>79.2</v>
      </c>
      <c r="J488" t="s">
        <v>32</v>
      </c>
    </row>
    <row r="489" spans="1:10" x14ac:dyDescent="0.25">
      <c r="A489" t="s">
        <v>519</v>
      </c>
      <c r="B489" s="1">
        <v>43296</v>
      </c>
      <c r="C489" t="s">
        <v>15</v>
      </c>
      <c r="D489" t="s">
        <v>24</v>
      </c>
      <c r="E489">
        <v>2</v>
      </c>
      <c r="F489">
        <v>40</v>
      </c>
      <c r="G489">
        <v>80</v>
      </c>
      <c r="H489">
        <v>0.03</v>
      </c>
      <c r="I489">
        <v>2.4</v>
      </c>
      <c r="J489" t="s">
        <v>35</v>
      </c>
    </row>
    <row r="490" spans="1:10" x14ac:dyDescent="0.25">
      <c r="A490" t="s">
        <v>520</v>
      </c>
      <c r="B490" s="1">
        <v>43296</v>
      </c>
      <c r="C490" t="s">
        <v>30</v>
      </c>
      <c r="D490" t="s">
        <v>27</v>
      </c>
      <c r="E490">
        <v>15</v>
      </c>
      <c r="F490">
        <v>16</v>
      </c>
      <c r="G490">
        <v>240</v>
      </c>
      <c r="H490">
        <v>0.12</v>
      </c>
      <c r="I490">
        <v>28.799999999999997</v>
      </c>
      <c r="J490" t="s">
        <v>37</v>
      </c>
    </row>
    <row r="491" spans="1:10" x14ac:dyDescent="0.25">
      <c r="A491" t="s">
        <v>521</v>
      </c>
      <c r="B491" s="1">
        <v>43296</v>
      </c>
      <c r="C491" t="s">
        <v>30</v>
      </c>
      <c r="D491" t="s">
        <v>24</v>
      </c>
      <c r="E491">
        <v>9</v>
      </c>
      <c r="F491">
        <v>16</v>
      </c>
      <c r="G491">
        <v>144</v>
      </c>
      <c r="H491">
        <v>0.05</v>
      </c>
      <c r="I491">
        <v>7.2</v>
      </c>
      <c r="J491" t="s">
        <v>39</v>
      </c>
    </row>
    <row r="492" spans="1:10" x14ac:dyDescent="0.25">
      <c r="A492" t="s">
        <v>522</v>
      </c>
      <c r="B492" s="1">
        <v>43296</v>
      </c>
      <c r="C492" t="s">
        <v>15</v>
      </c>
      <c r="D492" t="s">
        <v>31</v>
      </c>
      <c r="E492">
        <v>7</v>
      </c>
      <c r="F492">
        <v>40</v>
      </c>
      <c r="G492">
        <v>280</v>
      </c>
      <c r="H492">
        <v>0.05</v>
      </c>
      <c r="I492">
        <v>14</v>
      </c>
      <c r="J492" t="s">
        <v>13</v>
      </c>
    </row>
    <row r="493" spans="1:10" x14ac:dyDescent="0.25">
      <c r="A493" t="s">
        <v>523</v>
      </c>
      <c r="B493" s="1">
        <v>43296</v>
      </c>
      <c r="C493" t="s">
        <v>34</v>
      </c>
      <c r="D493" t="s">
        <v>31</v>
      </c>
      <c r="E493">
        <v>4</v>
      </c>
      <c r="F493">
        <v>150</v>
      </c>
      <c r="G493">
        <v>600</v>
      </c>
      <c r="H493">
        <v>0.05</v>
      </c>
      <c r="I493">
        <v>30</v>
      </c>
      <c r="J493" t="s">
        <v>17</v>
      </c>
    </row>
    <row r="494" spans="1:10" x14ac:dyDescent="0.25">
      <c r="A494" t="s">
        <v>524</v>
      </c>
      <c r="B494" s="1">
        <v>43296</v>
      </c>
      <c r="C494" t="s">
        <v>19</v>
      </c>
      <c r="D494" t="s">
        <v>12</v>
      </c>
      <c r="E494">
        <v>15</v>
      </c>
      <c r="F494">
        <v>230</v>
      </c>
      <c r="G494">
        <v>3450</v>
      </c>
      <c r="H494">
        <v>0.05</v>
      </c>
      <c r="I494">
        <v>172.5</v>
      </c>
      <c r="J494" t="s">
        <v>20</v>
      </c>
    </row>
    <row r="495" spans="1:10" x14ac:dyDescent="0.25">
      <c r="A495" t="s">
        <v>525</v>
      </c>
      <c r="B495" s="1">
        <v>43297</v>
      </c>
      <c r="C495" t="s">
        <v>15</v>
      </c>
      <c r="D495" t="s">
        <v>16</v>
      </c>
      <c r="E495">
        <v>12</v>
      </c>
      <c r="F495">
        <v>40</v>
      </c>
      <c r="G495">
        <v>480</v>
      </c>
      <c r="H495">
        <v>0.1</v>
      </c>
      <c r="I495">
        <v>48</v>
      </c>
      <c r="J495" t="s">
        <v>22</v>
      </c>
    </row>
    <row r="496" spans="1:10" x14ac:dyDescent="0.25">
      <c r="A496" t="s">
        <v>526</v>
      </c>
      <c r="B496" s="1">
        <v>43297</v>
      </c>
      <c r="C496" t="s">
        <v>19</v>
      </c>
      <c r="D496" t="s">
        <v>27</v>
      </c>
      <c r="E496">
        <v>23</v>
      </c>
      <c r="F496">
        <v>230</v>
      </c>
      <c r="G496">
        <v>5290</v>
      </c>
      <c r="H496">
        <v>0.06</v>
      </c>
      <c r="I496">
        <v>317.39999999999998</v>
      </c>
      <c r="J496" t="s">
        <v>25</v>
      </c>
    </row>
    <row r="497" spans="1:10" x14ac:dyDescent="0.25">
      <c r="A497" t="s">
        <v>527</v>
      </c>
      <c r="B497" s="1">
        <v>43297</v>
      </c>
      <c r="C497" t="s">
        <v>30</v>
      </c>
      <c r="D497" t="s">
        <v>12</v>
      </c>
      <c r="E497">
        <v>11</v>
      </c>
      <c r="F497">
        <v>16</v>
      </c>
      <c r="G497">
        <v>176</v>
      </c>
      <c r="H497">
        <v>0.09</v>
      </c>
      <c r="I497">
        <v>15.84</v>
      </c>
      <c r="J497" t="s">
        <v>28</v>
      </c>
    </row>
    <row r="498" spans="1:10" x14ac:dyDescent="0.25">
      <c r="A498" t="s">
        <v>528</v>
      </c>
      <c r="B498" s="1">
        <v>43297</v>
      </c>
      <c r="C498" t="s">
        <v>34</v>
      </c>
      <c r="D498" t="s">
        <v>12</v>
      </c>
      <c r="E498">
        <v>9</v>
      </c>
      <c r="F498">
        <v>150</v>
      </c>
      <c r="G498">
        <v>1350</v>
      </c>
      <c r="H498">
        <v>0.1</v>
      </c>
      <c r="I498">
        <v>135</v>
      </c>
      <c r="J498" t="s">
        <v>32</v>
      </c>
    </row>
    <row r="499" spans="1:10" x14ac:dyDescent="0.25">
      <c r="A499" t="s">
        <v>529</v>
      </c>
      <c r="B499" s="1">
        <v>43297</v>
      </c>
      <c r="C499" t="s">
        <v>11</v>
      </c>
      <c r="D499" t="s">
        <v>12</v>
      </c>
      <c r="E499">
        <v>18</v>
      </c>
      <c r="F499">
        <v>80</v>
      </c>
      <c r="G499">
        <v>1440</v>
      </c>
      <c r="H499">
        <v>0.02</v>
      </c>
      <c r="I499">
        <v>28.8</v>
      </c>
      <c r="J499" t="s">
        <v>35</v>
      </c>
    </row>
    <row r="500" spans="1:10" x14ac:dyDescent="0.25">
      <c r="A500" t="s">
        <v>530</v>
      </c>
      <c r="B500" s="1">
        <v>43297</v>
      </c>
      <c r="C500" t="s">
        <v>15</v>
      </c>
      <c r="D500" t="s">
        <v>31</v>
      </c>
      <c r="E500">
        <v>23</v>
      </c>
      <c r="F500">
        <v>40</v>
      </c>
      <c r="G500">
        <v>920</v>
      </c>
      <c r="H500">
        <v>0.04</v>
      </c>
      <c r="I500">
        <v>36.800000000000004</v>
      </c>
      <c r="J500" t="s">
        <v>37</v>
      </c>
    </row>
    <row r="501" spans="1:10" x14ac:dyDescent="0.25">
      <c r="A501" t="s">
        <v>531</v>
      </c>
      <c r="B501" s="1">
        <v>43297</v>
      </c>
      <c r="C501" t="s">
        <v>30</v>
      </c>
      <c r="D501" t="s">
        <v>31</v>
      </c>
      <c r="E501">
        <v>17</v>
      </c>
      <c r="F501">
        <v>16</v>
      </c>
      <c r="G501">
        <v>272</v>
      </c>
      <c r="H501">
        <v>0.1</v>
      </c>
      <c r="I501">
        <v>27.200000000000003</v>
      </c>
      <c r="J501" t="s">
        <v>39</v>
      </c>
    </row>
    <row r="502" spans="1:10" x14ac:dyDescent="0.25">
      <c r="A502" t="s">
        <v>532</v>
      </c>
      <c r="B502" s="1">
        <v>43297</v>
      </c>
      <c r="C502" t="s">
        <v>34</v>
      </c>
      <c r="D502" t="s">
        <v>31</v>
      </c>
      <c r="E502">
        <v>17</v>
      </c>
      <c r="F502">
        <v>150</v>
      </c>
      <c r="G502">
        <v>2550</v>
      </c>
      <c r="H502">
        <v>0.02</v>
      </c>
      <c r="I502">
        <v>51</v>
      </c>
      <c r="J502" t="s">
        <v>41</v>
      </c>
    </row>
    <row r="503" spans="1:10" x14ac:dyDescent="0.25">
      <c r="A503" t="s">
        <v>533</v>
      </c>
      <c r="B503" s="1">
        <v>43297</v>
      </c>
      <c r="C503" t="s">
        <v>11</v>
      </c>
      <c r="D503" t="s">
        <v>27</v>
      </c>
      <c r="E503">
        <v>21</v>
      </c>
      <c r="F503">
        <v>80</v>
      </c>
      <c r="G503">
        <v>1680</v>
      </c>
      <c r="H503">
        <v>0.02</v>
      </c>
      <c r="I503">
        <v>33.6</v>
      </c>
      <c r="J503" t="s">
        <v>43</v>
      </c>
    </row>
    <row r="504" spans="1:10" x14ac:dyDescent="0.25">
      <c r="A504" t="s">
        <v>534</v>
      </c>
      <c r="B504" s="1">
        <v>43297</v>
      </c>
      <c r="C504" t="s">
        <v>15</v>
      </c>
      <c r="D504" t="s">
        <v>27</v>
      </c>
      <c r="E504">
        <v>11</v>
      </c>
      <c r="F504">
        <v>40</v>
      </c>
      <c r="G504">
        <v>440</v>
      </c>
      <c r="H504">
        <v>0.06</v>
      </c>
      <c r="I504">
        <v>26.4</v>
      </c>
      <c r="J504" t="s">
        <v>13</v>
      </c>
    </row>
    <row r="505" spans="1:10" x14ac:dyDescent="0.25">
      <c r="A505" t="s">
        <v>535</v>
      </c>
      <c r="B505" s="1">
        <v>43297</v>
      </c>
      <c r="C505" t="s">
        <v>15</v>
      </c>
      <c r="D505" t="s">
        <v>12</v>
      </c>
      <c r="E505">
        <v>19</v>
      </c>
      <c r="F505">
        <v>40</v>
      </c>
      <c r="G505">
        <v>760</v>
      </c>
      <c r="H505">
        <v>0.04</v>
      </c>
      <c r="I505">
        <v>30.400000000000002</v>
      </c>
      <c r="J505" t="s">
        <v>17</v>
      </c>
    </row>
    <row r="506" spans="1:10" x14ac:dyDescent="0.25">
      <c r="A506" t="s">
        <v>536</v>
      </c>
      <c r="B506" s="1">
        <v>43297</v>
      </c>
      <c r="C506" t="s">
        <v>15</v>
      </c>
      <c r="D506" t="s">
        <v>12</v>
      </c>
      <c r="E506">
        <v>23</v>
      </c>
      <c r="F506">
        <v>40</v>
      </c>
      <c r="G506">
        <v>920</v>
      </c>
      <c r="H506">
        <v>0.03</v>
      </c>
      <c r="I506">
        <v>27.599999999999998</v>
      </c>
      <c r="J506" t="s">
        <v>20</v>
      </c>
    </row>
    <row r="507" spans="1:10" x14ac:dyDescent="0.25">
      <c r="A507" t="s">
        <v>537</v>
      </c>
      <c r="B507" s="1">
        <v>43297</v>
      </c>
      <c r="C507" t="s">
        <v>19</v>
      </c>
      <c r="D507" t="s">
        <v>16</v>
      </c>
      <c r="E507">
        <v>14</v>
      </c>
      <c r="F507">
        <v>230</v>
      </c>
      <c r="G507">
        <v>3220</v>
      </c>
      <c r="H507">
        <v>0.05</v>
      </c>
      <c r="I507">
        <v>161</v>
      </c>
      <c r="J507" t="s">
        <v>22</v>
      </c>
    </row>
    <row r="508" spans="1:10" x14ac:dyDescent="0.25">
      <c r="A508" t="s">
        <v>538</v>
      </c>
      <c r="B508" s="1">
        <v>43297</v>
      </c>
      <c r="C508" t="s">
        <v>15</v>
      </c>
      <c r="D508" t="s">
        <v>24</v>
      </c>
      <c r="E508">
        <v>18</v>
      </c>
      <c r="F508">
        <v>40</v>
      </c>
      <c r="G508">
        <v>720</v>
      </c>
      <c r="H508">
        <v>0.03</v>
      </c>
      <c r="I508">
        <v>21.599999999999998</v>
      </c>
      <c r="J508" t="s">
        <v>25</v>
      </c>
    </row>
    <row r="509" spans="1:10" x14ac:dyDescent="0.25">
      <c r="A509" t="s">
        <v>539</v>
      </c>
      <c r="B509" s="1">
        <v>43297</v>
      </c>
      <c r="C509" t="s">
        <v>34</v>
      </c>
      <c r="D509" t="s">
        <v>16</v>
      </c>
      <c r="E509">
        <v>2</v>
      </c>
      <c r="F509">
        <v>150</v>
      </c>
      <c r="G509">
        <v>300</v>
      </c>
      <c r="H509">
        <v>0.09</v>
      </c>
      <c r="I509">
        <v>27</v>
      </c>
      <c r="J509" t="s">
        <v>28</v>
      </c>
    </row>
    <row r="510" spans="1:10" x14ac:dyDescent="0.25">
      <c r="A510" t="s">
        <v>540</v>
      </c>
      <c r="B510" s="1">
        <v>43297</v>
      </c>
      <c r="C510" t="s">
        <v>19</v>
      </c>
      <c r="D510" t="s">
        <v>16</v>
      </c>
      <c r="E510">
        <v>7</v>
      </c>
      <c r="F510">
        <v>230</v>
      </c>
      <c r="G510">
        <v>1610</v>
      </c>
      <c r="H510">
        <v>0.05</v>
      </c>
      <c r="I510">
        <v>80.5</v>
      </c>
      <c r="J510" t="s">
        <v>32</v>
      </c>
    </row>
    <row r="511" spans="1:10" x14ac:dyDescent="0.25">
      <c r="A511" t="s">
        <v>541</v>
      </c>
      <c r="B511" s="1">
        <v>43298</v>
      </c>
      <c r="C511" t="s">
        <v>34</v>
      </c>
      <c r="D511" t="s">
        <v>24</v>
      </c>
      <c r="E511">
        <v>9</v>
      </c>
      <c r="F511">
        <v>150</v>
      </c>
      <c r="G511">
        <v>1350</v>
      </c>
      <c r="H511">
        <v>0.02</v>
      </c>
      <c r="I511">
        <v>27</v>
      </c>
      <c r="J511" t="s">
        <v>35</v>
      </c>
    </row>
    <row r="512" spans="1:10" x14ac:dyDescent="0.25">
      <c r="A512" t="s">
        <v>542</v>
      </c>
      <c r="B512" s="1">
        <v>43298</v>
      </c>
      <c r="C512" t="s">
        <v>15</v>
      </c>
      <c r="D512" t="s">
        <v>31</v>
      </c>
      <c r="E512">
        <v>3</v>
      </c>
      <c r="F512">
        <v>40</v>
      </c>
      <c r="G512">
        <v>120</v>
      </c>
      <c r="H512">
        <v>0.03</v>
      </c>
      <c r="I512">
        <v>3.5999999999999996</v>
      </c>
      <c r="J512" t="s">
        <v>37</v>
      </c>
    </row>
    <row r="513" spans="1:10" x14ac:dyDescent="0.25">
      <c r="A513" t="s">
        <v>543</v>
      </c>
      <c r="B513" s="1">
        <v>43298</v>
      </c>
      <c r="C513" t="s">
        <v>11</v>
      </c>
      <c r="D513" t="s">
        <v>27</v>
      </c>
      <c r="E513">
        <v>2</v>
      </c>
      <c r="F513">
        <v>80</v>
      </c>
      <c r="G513">
        <v>160</v>
      </c>
      <c r="H513">
        <v>0.08</v>
      </c>
      <c r="I513">
        <v>12.8</v>
      </c>
      <c r="J513" t="s">
        <v>39</v>
      </c>
    </row>
    <row r="514" spans="1:10" x14ac:dyDescent="0.25">
      <c r="A514" t="s">
        <v>544</v>
      </c>
      <c r="B514" s="1">
        <v>43298</v>
      </c>
      <c r="C514" t="s">
        <v>30</v>
      </c>
      <c r="D514" t="s">
        <v>31</v>
      </c>
      <c r="E514">
        <v>19</v>
      </c>
      <c r="F514">
        <v>16</v>
      </c>
      <c r="G514">
        <v>304</v>
      </c>
      <c r="H514">
        <v>0.02</v>
      </c>
      <c r="I514">
        <v>6.08</v>
      </c>
      <c r="J514" t="s">
        <v>41</v>
      </c>
    </row>
    <row r="515" spans="1:10" x14ac:dyDescent="0.25">
      <c r="A515" t="s">
        <v>545</v>
      </c>
      <c r="B515" s="1">
        <v>43298</v>
      </c>
      <c r="C515" t="s">
        <v>30</v>
      </c>
      <c r="D515" t="s">
        <v>16</v>
      </c>
      <c r="E515">
        <v>21</v>
      </c>
      <c r="F515">
        <v>16</v>
      </c>
      <c r="G515">
        <v>336</v>
      </c>
      <c r="H515">
        <v>0.02</v>
      </c>
      <c r="I515">
        <v>6.72</v>
      </c>
      <c r="J515" t="s">
        <v>43</v>
      </c>
    </row>
    <row r="516" spans="1:10" x14ac:dyDescent="0.25">
      <c r="A516" t="s">
        <v>546</v>
      </c>
      <c r="B516" s="1">
        <v>43298</v>
      </c>
      <c r="C516" t="s">
        <v>11</v>
      </c>
      <c r="D516" t="s">
        <v>27</v>
      </c>
      <c r="E516">
        <v>21</v>
      </c>
      <c r="F516">
        <v>80</v>
      </c>
      <c r="G516">
        <v>1680</v>
      </c>
      <c r="H516">
        <v>0.05</v>
      </c>
      <c r="I516">
        <v>84</v>
      </c>
      <c r="J516" t="s">
        <v>13</v>
      </c>
    </row>
    <row r="517" spans="1:10" x14ac:dyDescent="0.25">
      <c r="A517" t="s">
        <v>547</v>
      </c>
      <c r="B517" s="1">
        <v>43298</v>
      </c>
      <c r="C517" t="s">
        <v>19</v>
      </c>
      <c r="D517" t="s">
        <v>31</v>
      </c>
      <c r="E517">
        <v>3</v>
      </c>
      <c r="F517">
        <v>230</v>
      </c>
      <c r="G517">
        <v>690</v>
      </c>
      <c r="H517">
        <v>0.1</v>
      </c>
      <c r="I517">
        <v>69</v>
      </c>
      <c r="J517" t="s">
        <v>17</v>
      </c>
    </row>
    <row r="518" spans="1:10" x14ac:dyDescent="0.25">
      <c r="A518" t="s">
        <v>548</v>
      </c>
      <c r="B518" s="1">
        <v>43298</v>
      </c>
      <c r="C518" t="s">
        <v>15</v>
      </c>
      <c r="D518" t="s">
        <v>24</v>
      </c>
      <c r="E518">
        <v>4</v>
      </c>
      <c r="F518">
        <v>40</v>
      </c>
      <c r="G518">
        <v>160</v>
      </c>
      <c r="H518">
        <v>0.11</v>
      </c>
      <c r="I518">
        <v>17.600000000000001</v>
      </c>
      <c r="J518" t="s">
        <v>20</v>
      </c>
    </row>
    <row r="519" spans="1:10" x14ac:dyDescent="0.25">
      <c r="A519" t="s">
        <v>549</v>
      </c>
      <c r="B519" s="1">
        <v>43298</v>
      </c>
      <c r="C519" t="s">
        <v>34</v>
      </c>
      <c r="D519" t="s">
        <v>31</v>
      </c>
      <c r="E519">
        <v>7</v>
      </c>
      <c r="F519">
        <v>150</v>
      </c>
      <c r="G519">
        <v>1050</v>
      </c>
      <c r="H519">
        <v>0.03</v>
      </c>
      <c r="I519">
        <v>31.5</v>
      </c>
      <c r="J519" t="s">
        <v>22</v>
      </c>
    </row>
    <row r="520" spans="1:10" x14ac:dyDescent="0.25">
      <c r="A520" t="s">
        <v>550</v>
      </c>
      <c r="B520" s="1">
        <v>43298</v>
      </c>
      <c r="C520" t="s">
        <v>30</v>
      </c>
      <c r="D520" t="s">
        <v>24</v>
      </c>
      <c r="E520">
        <v>11</v>
      </c>
      <c r="F520">
        <v>16</v>
      </c>
      <c r="G520">
        <v>176</v>
      </c>
      <c r="H520">
        <v>0.12</v>
      </c>
      <c r="I520">
        <v>21.119999999999997</v>
      </c>
      <c r="J520" t="s">
        <v>25</v>
      </c>
    </row>
    <row r="521" spans="1:10" x14ac:dyDescent="0.25">
      <c r="A521" t="s">
        <v>551</v>
      </c>
      <c r="B521" s="1">
        <v>43298</v>
      </c>
      <c r="C521" t="s">
        <v>11</v>
      </c>
      <c r="D521" t="s">
        <v>12</v>
      </c>
      <c r="E521">
        <v>17</v>
      </c>
      <c r="F521">
        <v>80</v>
      </c>
      <c r="G521">
        <v>1360</v>
      </c>
      <c r="H521">
        <v>7.0000000000000007E-2</v>
      </c>
      <c r="I521">
        <v>95.2</v>
      </c>
      <c r="J521" t="s">
        <v>28</v>
      </c>
    </row>
    <row r="522" spans="1:10" x14ac:dyDescent="0.25">
      <c r="A522" t="s">
        <v>552</v>
      </c>
      <c r="B522" s="1">
        <v>43298</v>
      </c>
      <c r="C522" t="s">
        <v>30</v>
      </c>
      <c r="D522" t="s">
        <v>27</v>
      </c>
      <c r="E522">
        <v>5</v>
      </c>
      <c r="F522">
        <v>16</v>
      </c>
      <c r="G522">
        <v>80</v>
      </c>
      <c r="H522">
        <v>0.09</v>
      </c>
      <c r="I522">
        <v>7.1999999999999993</v>
      </c>
      <c r="J522" t="s">
        <v>32</v>
      </c>
    </row>
    <row r="523" spans="1:10" x14ac:dyDescent="0.25">
      <c r="A523" t="s">
        <v>553</v>
      </c>
      <c r="B523" s="1">
        <v>43298</v>
      </c>
      <c r="C523" t="s">
        <v>30</v>
      </c>
      <c r="D523" t="s">
        <v>31</v>
      </c>
      <c r="E523">
        <v>13</v>
      </c>
      <c r="F523">
        <v>16</v>
      </c>
      <c r="G523">
        <v>208</v>
      </c>
      <c r="H523">
        <v>7.0000000000000007E-2</v>
      </c>
      <c r="I523">
        <v>14.560000000000002</v>
      </c>
      <c r="J523" t="s">
        <v>35</v>
      </c>
    </row>
    <row r="524" spans="1:10" x14ac:dyDescent="0.25">
      <c r="A524" t="s">
        <v>554</v>
      </c>
      <c r="B524" s="1">
        <v>43298</v>
      </c>
      <c r="C524" t="s">
        <v>11</v>
      </c>
      <c r="D524" t="s">
        <v>31</v>
      </c>
      <c r="E524">
        <v>9</v>
      </c>
      <c r="F524">
        <v>80</v>
      </c>
      <c r="G524">
        <v>720</v>
      </c>
      <c r="H524">
        <v>0.02</v>
      </c>
      <c r="I524">
        <v>14.4</v>
      </c>
      <c r="J524" t="s">
        <v>37</v>
      </c>
    </row>
    <row r="525" spans="1:10" x14ac:dyDescent="0.25">
      <c r="A525" t="s">
        <v>555</v>
      </c>
      <c r="B525" s="1">
        <v>43299</v>
      </c>
      <c r="C525" t="s">
        <v>11</v>
      </c>
      <c r="D525" t="s">
        <v>31</v>
      </c>
      <c r="E525">
        <v>9</v>
      </c>
      <c r="F525">
        <v>80</v>
      </c>
      <c r="G525">
        <v>720</v>
      </c>
      <c r="H525">
        <v>0.02</v>
      </c>
      <c r="I525">
        <v>14.4</v>
      </c>
      <c r="J525" t="s">
        <v>39</v>
      </c>
    </row>
    <row r="526" spans="1:10" x14ac:dyDescent="0.25">
      <c r="A526" t="s">
        <v>556</v>
      </c>
      <c r="B526" s="1">
        <v>43299</v>
      </c>
      <c r="C526" t="s">
        <v>11</v>
      </c>
      <c r="D526" t="s">
        <v>27</v>
      </c>
      <c r="E526">
        <v>22</v>
      </c>
      <c r="F526">
        <v>80</v>
      </c>
      <c r="G526">
        <v>1760</v>
      </c>
      <c r="H526">
        <v>0.03</v>
      </c>
      <c r="I526">
        <v>52.8</v>
      </c>
      <c r="J526" t="s">
        <v>41</v>
      </c>
    </row>
    <row r="527" spans="1:10" x14ac:dyDescent="0.25">
      <c r="A527" t="s">
        <v>557</v>
      </c>
      <c r="B527" s="1">
        <v>43299</v>
      </c>
      <c r="C527" t="s">
        <v>34</v>
      </c>
      <c r="D527" t="s">
        <v>12</v>
      </c>
      <c r="E527">
        <v>13</v>
      </c>
      <c r="F527">
        <v>150</v>
      </c>
      <c r="G527">
        <v>1950</v>
      </c>
      <c r="H527">
        <v>0.05</v>
      </c>
      <c r="I527">
        <v>97.5</v>
      </c>
      <c r="J527" t="s">
        <v>43</v>
      </c>
    </row>
    <row r="528" spans="1:10" x14ac:dyDescent="0.25">
      <c r="A528" t="s">
        <v>558</v>
      </c>
      <c r="B528" s="1">
        <v>43299</v>
      </c>
      <c r="C528" t="s">
        <v>11</v>
      </c>
      <c r="D528" t="s">
        <v>12</v>
      </c>
      <c r="E528">
        <v>14</v>
      </c>
      <c r="F528">
        <v>80</v>
      </c>
      <c r="G528">
        <v>1120</v>
      </c>
      <c r="H528">
        <v>0.08</v>
      </c>
      <c r="I528">
        <v>89.600000000000009</v>
      </c>
      <c r="J528" t="s">
        <v>13</v>
      </c>
    </row>
    <row r="529" spans="1:10" x14ac:dyDescent="0.25">
      <c r="A529" t="s">
        <v>559</v>
      </c>
      <c r="B529" s="1">
        <v>43299</v>
      </c>
      <c r="C529" t="s">
        <v>11</v>
      </c>
      <c r="D529" t="s">
        <v>12</v>
      </c>
      <c r="E529">
        <v>6</v>
      </c>
      <c r="F529">
        <v>80</v>
      </c>
      <c r="G529">
        <v>480</v>
      </c>
      <c r="H529">
        <v>7.0000000000000007E-2</v>
      </c>
      <c r="I529">
        <v>33.6</v>
      </c>
      <c r="J529" t="s">
        <v>17</v>
      </c>
    </row>
    <row r="530" spans="1:10" x14ac:dyDescent="0.25">
      <c r="A530" t="s">
        <v>560</v>
      </c>
      <c r="B530" s="1">
        <v>43299</v>
      </c>
      <c r="C530" t="s">
        <v>11</v>
      </c>
      <c r="D530" t="s">
        <v>12</v>
      </c>
      <c r="E530">
        <v>16</v>
      </c>
      <c r="F530">
        <v>80</v>
      </c>
      <c r="G530">
        <v>1280</v>
      </c>
      <c r="H530">
        <v>0.03</v>
      </c>
      <c r="I530">
        <v>38.4</v>
      </c>
      <c r="J530" t="s">
        <v>20</v>
      </c>
    </row>
    <row r="531" spans="1:10" x14ac:dyDescent="0.25">
      <c r="A531" t="s">
        <v>561</v>
      </c>
      <c r="B531" s="1">
        <v>43299</v>
      </c>
      <c r="C531" t="s">
        <v>34</v>
      </c>
      <c r="D531" t="s">
        <v>24</v>
      </c>
      <c r="E531">
        <v>22</v>
      </c>
      <c r="F531">
        <v>150</v>
      </c>
      <c r="G531">
        <v>3300</v>
      </c>
      <c r="H531">
        <v>0.09</v>
      </c>
      <c r="I531">
        <v>297</v>
      </c>
      <c r="J531" t="s">
        <v>22</v>
      </c>
    </row>
    <row r="532" spans="1:10" x14ac:dyDescent="0.25">
      <c r="A532" t="s">
        <v>562</v>
      </c>
      <c r="B532" s="1">
        <v>43299</v>
      </c>
      <c r="C532" t="s">
        <v>34</v>
      </c>
      <c r="D532" t="s">
        <v>27</v>
      </c>
      <c r="E532">
        <v>4</v>
      </c>
      <c r="F532">
        <v>150</v>
      </c>
      <c r="G532">
        <v>600</v>
      </c>
      <c r="H532">
        <v>0.12</v>
      </c>
      <c r="I532">
        <v>72</v>
      </c>
      <c r="J532" t="s">
        <v>25</v>
      </c>
    </row>
    <row r="533" spans="1:10" x14ac:dyDescent="0.25">
      <c r="A533" t="s">
        <v>563</v>
      </c>
      <c r="B533" s="1">
        <v>43299</v>
      </c>
      <c r="C533" t="s">
        <v>19</v>
      </c>
      <c r="D533" t="s">
        <v>31</v>
      </c>
      <c r="E533">
        <v>7</v>
      </c>
      <c r="F533">
        <v>230</v>
      </c>
      <c r="G533">
        <v>1610</v>
      </c>
      <c r="H533">
        <v>0.05</v>
      </c>
      <c r="I533">
        <v>80.5</v>
      </c>
      <c r="J533" t="s">
        <v>28</v>
      </c>
    </row>
    <row r="534" spans="1:10" x14ac:dyDescent="0.25">
      <c r="A534" t="s">
        <v>564</v>
      </c>
      <c r="B534" s="1">
        <v>43299</v>
      </c>
      <c r="C534" t="s">
        <v>34</v>
      </c>
      <c r="D534" t="s">
        <v>27</v>
      </c>
      <c r="E534">
        <v>20</v>
      </c>
      <c r="F534">
        <v>150</v>
      </c>
      <c r="G534">
        <v>3000</v>
      </c>
      <c r="H534">
        <v>0.1</v>
      </c>
      <c r="I534">
        <v>300</v>
      </c>
      <c r="J534" t="s">
        <v>32</v>
      </c>
    </row>
    <row r="535" spans="1:10" x14ac:dyDescent="0.25">
      <c r="A535" t="s">
        <v>565</v>
      </c>
      <c r="B535" s="1">
        <v>43299</v>
      </c>
      <c r="C535" t="s">
        <v>19</v>
      </c>
      <c r="D535" t="s">
        <v>27</v>
      </c>
      <c r="E535">
        <v>8</v>
      </c>
      <c r="F535">
        <v>230</v>
      </c>
      <c r="G535">
        <v>1840</v>
      </c>
      <c r="H535">
        <v>0.05</v>
      </c>
      <c r="I535">
        <v>92</v>
      </c>
      <c r="J535" t="s">
        <v>35</v>
      </c>
    </row>
    <row r="536" spans="1:10" x14ac:dyDescent="0.25">
      <c r="A536" t="s">
        <v>566</v>
      </c>
      <c r="B536" s="1">
        <v>43300</v>
      </c>
      <c r="C536" t="s">
        <v>15</v>
      </c>
      <c r="D536" t="s">
        <v>27</v>
      </c>
      <c r="E536">
        <v>9</v>
      </c>
      <c r="F536">
        <v>40</v>
      </c>
      <c r="G536">
        <v>360</v>
      </c>
      <c r="H536">
        <v>0.06</v>
      </c>
      <c r="I536">
        <v>21.599999999999998</v>
      </c>
      <c r="J536" t="s">
        <v>37</v>
      </c>
    </row>
    <row r="537" spans="1:10" x14ac:dyDescent="0.25">
      <c r="A537" t="s">
        <v>567</v>
      </c>
      <c r="B537" s="1">
        <v>43300</v>
      </c>
      <c r="C537" t="s">
        <v>19</v>
      </c>
      <c r="D537" t="s">
        <v>27</v>
      </c>
      <c r="E537">
        <v>19</v>
      </c>
      <c r="F537">
        <v>230</v>
      </c>
      <c r="G537">
        <v>4370</v>
      </c>
      <c r="H537">
        <v>0.06</v>
      </c>
      <c r="I537">
        <v>262.2</v>
      </c>
      <c r="J537" t="s">
        <v>39</v>
      </c>
    </row>
    <row r="538" spans="1:10" x14ac:dyDescent="0.25">
      <c r="A538" t="s">
        <v>568</v>
      </c>
      <c r="B538" s="1">
        <v>43300</v>
      </c>
      <c r="C538" t="s">
        <v>15</v>
      </c>
      <c r="D538" t="s">
        <v>27</v>
      </c>
      <c r="E538">
        <v>22</v>
      </c>
      <c r="F538">
        <v>40</v>
      </c>
      <c r="G538">
        <v>880</v>
      </c>
      <c r="H538">
        <v>0.01</v>
      </c>
      <c r="I538">
        <v>8.8000000000000007</v>
      </c>
      <c r="J538" t="s">
        <v>41</v>
      </c>
    </row>
    <row r="539" spans="1:10" x14ac:dyDescent="0.25">
      <c r="A539" t="s">
        <v>569</v>
      </c>
      <c r="B539" s="1">
        <v>43300</v>
      </c>
      <c r="C539" t="s">
        <v>15</v>
      </c>
      <c r="D539" t="s">
        <v>12</v>
      </c>
      <c r="E539">
        <v>22</v>
      </c>
      <c r="F539">
        <v>40</v>
      </c>
      <c r="G539">
        <v>880</v>
      </c>
      <c r="H539">
        <v>0.02</v>
      </c>
      <c r="I539">
        <v>17.600000000000001</v>
      </c>
      <c r="J539" t="s">
        <v>43</v>
      </c>
    </row>
    <row r="540" spans="1:10" x14ac:dyDescent="0.25">
      <c r="A540" t="s">
        <v>570</v>
      </c>
      <c r="B540" s="1">
        <v>43300</v>
      </c>
      <c r="C540" t="s">
        <v>11</v>
      </c>
      <c r="D540" t="s">
        <v>31</v>
      </c>
      <c r="E540">
        <v>10</v>
      </c>
      <c r="F540">
        <v>80</v>
      </c>
      <c r="G540">
        <v>800</v>
      </c>
      <c r="H540">
        <v>0.06</v>
      </c>
      <c r="I540">
        <v>48</v>
      </c>
      <c r="J540" t="s">
        <v>13</v>
      </c>
    </row>
    <row r="541" spans="1:10" x14ac:dyDescent="0.25">
      <c r="A541" t="s">
        <v>571</v>
      </c>
      <c r="B541" s="1">
        <v>43300</v>
      </c>
      <c r="C541" t="s">
        <v>15</v>
      </c>
      <c r="D541" t="s">
        <v>27</v>
      </c>
      <c r="E541">
        <v>7</v>
      </c>
      <c r="F541">
        <v>40</v>
      </c>
      <c r="G541">
        <v>280</v>
      </c>
      <c r="H541">
        <v>0.11</v>
      </c>
      <c r="I541">
        <v>30.8</v>
      </c>
      <c r="J541" t="s">
        <v>17</v>
      </c>
    </row>
    <row r="542" spans="1:10" x14ac:dyDescent="0.25">
      <c r="A542" t="s">
        <v>572</v>
      </c>
      <c r="B542" s="1">
        <v>43300</v>
      </c>
      <c r="C542" t="s">
        <v>19</v>
      </c>
      <c r="D542" t="s">
        <v>12</v>
      </c>
      <c r="E542">
        <v>7</v>
      </c>
      <c r="F542">
        <v>230</v>
      </c>
      <c r="G542">
        <v>1610</v>
      </c>
      <c r="H542">
        <v>0.08</v>
      </c>
      <c r="I542">
        <v>128.80000000000001</v>
      </c>
      <c r="J542" t="s">
        <v>20</v>
      </c>
    </row>
    <row r="543" spans="1:10" x14ac:dyDescent="0.25">
      <c r="A543" t="s">
        <v>573</v>
      </c>
      <c r="B543" s="1">
        <v>43300</v>
      </c>
      <c r="C543" t="s">
        <v>30</v>
      </c>
      <c r="D543" t="s">
        <v>12</v>
      </c>
      <c r="E543">
        <v>18</v>
      </c>
      <c r="F543">
        <v>16</v>
      </c>
      <c r="G543">
        <v>288</v>
      </c>
      <c r="H543">
        <v>0.11</v>
      </c>
      <c r="I543">
        <v>31.68</v>
      </c>
      <c r="J543" t="s">
        <v>22</v>
      </c>
    </row>
    <row r="544" spans="1:10" x14ac:dyDescent="0.25">
      <c r="A544" t="s">
        <v>574</v>
      </c>
      <c r="B544" s="1">
        <v>43300</v>
      </c>
      <c r="C544" t="s">
        <v>19</v>
      </c>
      <c r="D544" t="s">
        <v>24</v>
      </c>
      <c r="E544">
        <v>14</v>
      </c>
      <c r="F544">
        <v>230</v>
      </c>
      <c r="G544">
        <v>3220</v>
      </c>
      <c r="H544">
        <v>0.12</v>
      </c>
      <c r="I544">
        <v>386.4</v>
      </c>
      <c r="J544" t="s">
        <v>25</v>
      </c>
    </row>
    <row r="545" spans="1:10" x14ac:dyDescent="0.25">
      <c r="A545" t="s">
        <v>575</v>
      </c>
      <c r="B545" s="1">
        <v>43300</v>
      </c>
      <c r="C545" t="s">
        <v>15</v>
      </c>
      <c r="D545" t="s">
        <v>16</v>
      </c>
      <c r="E545">
        <v>21</v>
      </c>
      <c r="F545">
        <v>40</v>
      </c>
      <c r="G545">
        <v>840</v>
      </c>
      <c r="H545">
        <v>0.03</v>
      </c>
      <c r="I545">
        <v>25.2</v>
      </c>
      <c r="J545" t="s">
        <v>28</v>
      </c>
    </row>
    <row r="546" spans="1:10" x14ac:dyDescent="0.25">
      <c r="A546" t="s">
        <v>576</v>
      </c>
      <c r="B546" s="1">
        <v>43300</v>
      </c>
      <c r="C546" t="s">
        <v>34</v>
      </c>
      <c r="D546" t="s">
        <v>12</v>
      </c>
      <c r="E546">
        <v>3</v>
      </c>
      <c r="F546">
        <v>150</v>
      </c>
      <c r="G546">
        <v>450</v>
      </c>
      <c r="H546">
        <v>0.03</v>
      </c>
      <c r="I546">
        <v>13.5</v>
      </c>
      <c r="J546" t="s">
        <v>32</v>
      </c>
    </row>
    <row r="547" spans="1:10" x14ac:dyDescent="0.25">
      <c r="A547" t="s">
        <v>577</v>
      </c>
      <c r="B547" s="1">
        <v>43300</v>
      </c>
      <c r="C547" t="s">
        <v>11</v>
      </c>
      <c r="D547" t="s">
        <v>12</v>
      </c>
      <c r="E547">
        <v>12</v>
      </c>
      <c r="F547">
        <v>80</v>
      </c>
      <c r="G547">
        <v>960</v>
      </c>
      <c r="H547">
        <v>0.04</v>
      </c>
      <c r="I547">
        <v>38.4</v>
      </c>
      <c r="J547" t="s">
        <v>35</v>
      </c>
    </row>
    <row r="548" spans="1:10" x14ac:dyDescent="0.25">
      <c r="A548" t="s">
        <v>578</v>
      </c>
      <c r="B548" s="1">
        <v>43301</v>
      </c>
      <c r="C548" t="s">
        <v>34</v>
      </c>
      <c r="D548" t="s">
        <v>27</v>
      </c>
      <c r="E548">
        <v>6</v>
      </c>
      <c r="F548">
        <v>150</v>
      </c>
      <c r="G548">
        <v>900</v>
      </c>
      <c r="H548">
        <v>0.03</v>
      </c>
      <c r="I548">
        <v>27</v>
      </c>
      <c r="J548" t="s">
        <v>37</v>
      </c>
    </row>
    <row r="549" spans="1:10" x14ac:dyDescent="0.25">
      <c r="A549" t="s">
        <v>579</v>
      </c>
      <c r="B549" s="1">
        <v>43301</v>
      </c>
      <c r="C549" t="s">
        <v>15</v>
      </c>
      <c r="D549" t="s">
        <v>24</v>
      </c>
      <c r="E549">
        <v>20</v>
      </c>
      <c r="F549">
        <v>40</v>
      </c>
      <c r="G549">
        <v>800</v>
      </c>
      <c r="H549">
        <v>0.01</v>
      </c>
      <c r="I549">
        <v>8</v>
      </c>
      <c r="J549" t="s">
        <v>39</v>
      </c>
    </row>
    <row r="550" spans="1:10" x14ac:dyDescent="0.25">
      <c r="A550" t="s">
        <v>580</v>
      </c>
      <c r="B550" s="1">
        <v>43301</v>
      </c>
      <c r="C550" t="s">
        <v>19</v>
      </c>
      <c r="D550" t="s">
        <v>12</v>
      </c>
      <c r="E550">
        <v>3</v>
      </c>
      <c r="F550">
        <v>230</v>
      </c>
      <c r="G550">
        <v>690</v>
      </c>
      <c r="H550">
        <v>0.06</v>
      </c>
      <c r="I550">
        <v>41.4</v>
      </c>
      <c r="J550" t="s">
        <v>32</v>
      </c>
    </row>
    <row r="551" spans="1:10" x14ac:dyDescent="0.25">
      <c r="A551" t="s">
        <v>581</v>
      </c>
      <c r="B551" s="1">
        <v>43301</v>
      </c>
      <c r="C551" t="s">
        <v>19</v>
      </c>
      <c r="D551" t="s">
        <v>27</v>
      </c>
      <c r="E551">
        <v>3</v>
      </c>
      <c r="F551">
        <v>230</v>
      </c>
      <c r="G551">
        <v>690</v>
      </c>
      <c r="H551">
        <v>0.01</v>
      </c>
      <c r="I551">
        <v>6.9</v>
      </c>
      <c r="J551" t="s">
        <v>35</v>
      </c>
    </row>
    <row r="552" spans="1:10" x14ac:dyDescent="0.25">
      <c r="A552" t="s">
        <v>582</v>
      </c>
      <c r="B552" s="1">
        <v>43301</v>
      </c>
      <c r="C552" t="s">
        <v>15</v>
      </c>
      <c r="D552" t="s">
        <v>12</v>
      </c>
      <c r="E552">
        <v>20</v>
      </c>
      <c r="F552">
        <v>40</v>
      </c>
      <c r="G552">
        <v>800</v>
      </c>
      <c r="H552">
        <v>0.04</v>
      </c>
      <c r="I552">
        <v>32</v>
      </c>
      <c r="J552" t="s">
        <v>37</v>
      </c>
    </row>
    <row r="553" spans="1:10" x14ac:dyDescent="0.25">
      <c r="A553" t="s">
        <v>583</v>
      </c>
      <c r="B553" s="1">
        <v>43301</v>
      </c>
      <c r="C553" t="s">
        <v>11</v>
      </c>
      <c r="D553" t="s">
        <v>24</v>
      </c>
      <c r="E553">
        <v>16</v>
      </c>
      <c r="F553">
        <v>80</v>
      </c>
      <c r="G553">
        <v>1280</v>
      </c>
      <c r="H553">
        <v>0.02</v>
      </c>
      <c r="I553">
        <v>25.6</v>
      </c>
      <c r="J553" t="s">
        <v>39</v>
      </c>
    </row>
    <row r="554" spans="1:10" x14ac:dyDescent="0.25">
      <c r="A554" t="s">
        <v>584</v>
      </c>
      <c r="B554" s="1">
        <v>43301</v>
      </c>
      <c r="C554" t="s">
        <v>34</v>
      </c>
      <c r="D554" t="s">
        <v>12</v>
      </c>
      <c r="E554">
        <v>8</v>
      </c>
      <c r="F554">
        <v>150</v>
      </c>
      <c r="G554">
        <v>1200</v>
      </c>
      <c r="H554">
        <v>0.09</v>
      </c>
      <c r="I554">
        <v>108</v>
      </c>
      <c r="J554" t="s">
        <v>32</v>
      </c>
    </row>
    <row r="555" spans="1:10" x14ac:dyDescent="0.25">
      <c r="A555" t="s">
        <v>585</v>
      </c>
      <c r="B555" s="1">
        <v>43302</v>
      </c>
      <c r="C555" t="s">
        <v>19</v>
      </c>
      <c r="D555" t="s">
        <v>16</v>
      </c>
      <c r="E555">
        <v>7</v>
      </c>
      <c r="F555">
        <v>230</v>
      </c>
      <c r="G555">
        <v>1610</v>
      </c>
      <c r="H555">
        <v>0.01</v>
      </c>
      <c r="I555">
        <v>16.100000000000001</v>
      </c>
      <c r="J555" t="s">
        <v>35</v>
      </c>
    </row>
    <row r="556" spans="1:10" x14ac:dyDescent="0.25">
      <c r="A556" t="s">
        <v>586</v>
      </c>
      <c r="B556" s="1">
        <v>43302</v>
      </c>
      <c r="C556" t="s">
        <v>34</v>
      </c>
      <c r="D556" t="s">
        <v>16</v>
      </c>
      <c r="E556">
        <v>23</v>
      </c>
      <c r="F556">
        <v>150</v>
      </c>
      <c r="G556">
        <v>3450</v>
      </c>
      <c r="H556">
        <v>0.11</v>
      </c>
      <c r="I556">
        <v>379.5</v>
      </c>
      <c r="J556" t="s">
        <v>37</v>
      </c>
    </row>
    <row r="557" spans="1:10" x14ac:dyDescent="0.25">
      <c r="A557" t="s">
        <v>587</v>
      </c>
      <c r="B557" s="1">
        <v>43302</v>
      </c>
      <c r="C557" t="s">
        <v>15</v>
      </c>
      <c r="D557" t="s">
        <v>31</v>
      </c>
      <c r="E557">
        <v>16</v>
      </c>
      <c r="F557">
        <v>40</v>
      </c>
      <c r="G557">
        <v>640</v>
      </c>
      <c r="H557">
        <v>0.09</v>
      </c>
      <c r="I557">
        <v>57.599999999999994</v>
      </c>
      <c r="J557" t="s">
        <v>39</v>
      </c>
    </row>
    <row r="558" spans="1:10" x14ac:dyDescent="0.25">
      <c r="A558" t="s">
        <v>588</v>
      </c>
      <c r="B558" s="1">
        <v>43302</v>
      </c>
      <c r="C558" t="s">
        <v>15</v>
      </c>
      <c r="D558" t="s">
        <v>31</v>
      </c>
      <c r="E558">
        <v>20</v>
      </c>
      <c r="F558">
        <v>40</v>
      </c>
      <c r="G558">
        <v>800</v>
      </c>
      <c r="H558">
        <v>0.1</v>
      </c>
      <c r="I558">
        <v>80</v>
      </c>
      <c r="J558" t="s">
        <v>32</v>
      </c>
    </row>
    <row r="559" spans="1:10" x14ac:dyDescent="0.25">
      <c r="A559" t="s">
        <v>589</v>
      </c>
      <c r="B559" s="1">
        <v>43302</v>
      </c>
      <c r="C559" t="s">
        <v>15</v>
      </c>
      <c r="D559" t="s">
        <v>16</v>
      </c>
      <c r="E559">
        <v>18</v>
      </c>
      <c r="F559">
        <v>40</v>
      </c>
      <c r="G559">
        <v>720</v>
      </c>
      <c r="H559">
        <v>0.08</v>
      </c>
      <c r="I559">
        <v>57.6</v>
      </c>
      <c r="J559" t="s">
        <v>35</v>
      </c>
    </row>
    <row r="560" spans="1:10" x14ac:dyDescent="0.25">
      <c r="A560" t="s">
        <v>590</v>
      </c>
      <c r="B560" s="1">
        <v>43302</v>
      </c>
      <c r="C560" t="s">
        <v>11</v>
      </c>
      <c r="D560" t="s">
        <v>31</v>
      </c>
      <c r="E560">
        <v>22</v>
      </c>
      <c r="F560">
        <v>80</v>
      </c>
      <c r="G560">
        <v>1760</v>
      </c>
      <c r="H560">
        <v>0.09</v>
      </c>
      <c r="I560">
        <v>158.4</v>
      </c>
      <c r="J560" t="s">
        <v>37</v>
      </c>
    </row>
    <row r="561" spans="1:10" x14ac:dyDescent="0.25">
      <c r="A561" t="s">
        <v>591</v>
      </c>
      <c r="B561" s="1">
        <v>43302</v>
      </c>
      <c r="C561" t="s">
        <v>34</v>
      </c>
      <c r="D561" t="s">
        <v>16</v>
      </c>
      <c r="E561">
        <v>22</v>
      </c>
      <c r="F561">
        <v>150</v>
      </c>
      <c r="G561">
        <v>3300</v>
      </c>
      <c r="H561">
        <v>0.02</v>
      </c>
      <c r="I561">
        <v>66</v>
      </c>
      <c r="J561" t="s">
        <v>39</v>
      </c>
    </row>
    <row r="562" spans="1:10" x14ac:dyDescent="0.25">
      <c r="A562" t="s">
        <v>592</v>
      </c>
      <c r="B562" s="1">
        <v>43302</v>
      </c>
      <c r="C562" t="s">
        <v>34</v>
      </c>
      <c r="D562" t="s">
        <v>16</v>
      </c>
      <c r="E562">
        <v>20</v>
      </c>
      <c r="F562">
        <v>150</v>
      </c>
      <c r="G562">
        <v>3000</v>
      </c>
      <c r="H562">
        <v>0.09</v>
      </c>
      <c r="I562">
        <v>270</v>
      </c>
      <c r="J562" t="s">
        <v>32</v>
      </c>
    </row>
    <row r="563" spans="1:10" x14ac:dyDescent="0.25">
      <c r="A563" t="s">
        <v>593</v>
      </c>
      <c r="B563" s="1">
        <v>43302</v>
      </c>
      <c r="C563" t="s">
        <v>30</v>
      </c>
      <c r="D563" t="s">
        <v>12</v>
      </c>
      <c r="E563">
        <v>10</v>
      </c>
      <c r="F563">
        <v>16</v>
      </c>
      <c r="G563">
        <v>160</v>
      </c>
      <c r="H563">
        <v>0.08</v>
      </c>
      <c r="I563">
        <v>12.8</v>
      </c>
      <c r="J563" t="s">
        <v>35</v>
      </c>
    </row>
    <row r="564" spans="1:10" x14ac:dyDescent="0.25">
      <c r="A564" t="s">
        <v>594</v>
      </c>
      <c r="B564" s="1">
        <v>43302</v>
      </c>
      <c r="C564" t="s">
        <v>15</v>
      </c>
      <c r="D564" t="s">
        <v>24</v>
      </c>
      <c r="E564">
        <v>12</v>
      </c>
      <c r="F564">
        <v>40</v>
      </c>
      <c r="G564">
        <v>480</v>
      </c>
      <c r="H564">
        <v>0.02</v>
      </c>
      <c r="I564">
        <v>9.6</v>
      </c>
      <c r="J564" t="s">
        <v>37</v>
      </c>
    </row>
    <row r="565" spans="1:10" x14ac:dyDescent="0.25">
      <c r="A565" t="s">
        <v>595</v>
      </c>
      <c r="B565" s="1">
        <v>43302</v>
      </c>
      <c r="C565" t="s">
        <v>34</v>
      </c>
      <c r="D565" t="s">
        <v>12</v>
      </c>
      <c r="E565">
        <v>4</v>
      </c>
      <c r="F565">
        <v>150</v>
      </c>
      <c r="G565">
        <v>600</v>
      </c>
      <c r="H565">
        <v>0.1</v>
      </c>
      <c r="I565">
        <v>60</v>
      </c>
      <c r="J565" t="s">
        <v>39</v>
      </c>
    </row>
    <row r="566" spans="1:10" x14ac:dyDescent="0.25">
      <c r="A566" t="s">
        <v>596</v>
      </c>
      <c r="B566" s="1">
        <v>43302</v>
      </c>
      <c r="C566" t="s">
        <v>11</v>
      </c>
      <c r="D566" t="s">
        <v>24</v>
      </c>
      <c r="E566">
        <v>5</v>
      </c>
      <c r="F566">
        <v>80</v>
      </c>
      <c r="G566">
        <v>400</v>
      </c>
      <c r="H566">
        <v>0.09</v>
      </c>
      <c r="I566">
        <v>36</v>
      </c>
      <c r="J566" t="s">
        <v>32</v>
      </c>
    </row>
    <row r="567" spans="1:10" x14ac:dyDescent="0.25">
      <c r="A567" t="s">
        <v>597</v>
      </c>
      <c r="B567" s="1">
        <v>43302</v>
      </c>
      <c r="C567" t="s">
        <v>15</v>
      </c>
      <c r="D567" t="s">
        <v>12</v>
      </c>
      <c r="E567">
        <v>11</v>
      </c>
      <c r="F567">
        <v>40</v>
      </c>
      <c r="G567">
        <v>440</v>
      </c>
      <c r="H567">
        <v>0.04</v>
      </c>
      <c r="I567">
        <v>17.600000000000001</v>
      </c>
      <c r="J567" t="s">
        <v>35</v>
      </c>
    </row>
    <row r="568" spans="1:10" x14ac:dyDescent="0.25">
      <c r="A568" t="s">
        <v>598</v>
      </c>
      <c r="B568" s="1">
        <v>43302</v>
      </c>
      <c r="C568" t="s">
        <v>34</v>
      </c>
      <c r="D568" t="s">
        <v>16</v>
      </c>
      <c r="E568">
        <v>13</v>
      </c>
      <c r="F568">
        <v>150</v>
      </c>
      <c r="G568">
        <v>1950</v>
      </c>
      <c r="H568">
        <v>0.08</v>
      </c>
      <c r="I568">
        <v>156</v>
      </c>
      <c r="J568" t="s">
        <v>37</v>
      </c>
    </row>
    <row r="569" spans="1:10" x14ac:dyDescent="0.25">
      <c r="A569" t="s">
        <v>599</v>
      </c>
      <c r="B569" s="1">
        <v>43302</v>
      </c>
      <c r="C569" t="s">
        <v>11</v>
      </c>
      <c r="D569" t="s">
        <v>27</v>
      </c>
      <c r="E569">
        <v>19</v>
      </c>
      <c r="F569">
        <v>80</v>
      </c>
      <c r="G569">
        <v>1520</v>
      </c>
      <c r="H569">
        <v>0.02</v>
      </c>
      <c r="I569">
        <v>30.400000000000002</v>
      </c>
      <c r="J569" t="s">
        <v>39</v>
      </c>
    </row>
    <row r="570" spans="1:10" x14ac:dyDescent="0.25">
      <c r="A570" t="s">
        <v>600</v>
      </c>
      <c r="B570" s="1">
        <v>43302</v>
      </c>
      <c r="C570" t="s">
        <v>19</v>
      </c>
      <c r="D570" t="s">
        <v>16</v>
      </c>
      <c r="E570">
        <v>7</v>
      </c>
      <c r="F570">
        <v>230</v>
      </c>
      <c r="G570">
        <v>1610</v>
      </c>
      <c r="H570">
        <v>0.01</v>
      </c>
      <c r="I570">
        <v>16.100000000000001</v>
      </c>
      <c r="J570" t="s">
        <v>32</v>
      </c>
    </row>
    <row r="571" spans="1:10" x14ac:dyDescent="0.25">
      <c r="A571" t="s">
        <v>601</v>
      </c>
      <c r="B571" s="1">
        <v>43303</v>
      </c>
      <c r="C571" t="s">
        <v>11</v>
      </c>
      <c r="D571" t="s">
        <v>31</v>
      </c>
      <c r="E571">
        <v>16</v>
      </c>
      <c r="F571">
        <v>80</v>
      </c>
      <c r="G571">
        <v>1280</v>
      </c>
      <c r="H571">
        <v>0.09</v>
      </c>
      <c r="I571">
        <v>115.19999999999999</v>
      </c>
      <c r="J571" t="s">
        <v>35</v>
      </c>
    </row>
    <row r="572" spans="1:10" x14ac:dyDescent="0.25">
      <c r="A572" t="s">
        <v>602</v>
      </c>
      <c r="B572" s="1">
        <v>43303</v>
      </c>
      <c r="C572" t="s">
        <v>19</v>
      </c>
      <c r="D572" t="s">
        <v>12</v>
      </c>
      <c r="E572">
        <v>7</v>
      </c>
      <c r="F572">
        <v>230</v>
      </c>
      <c r="G572">
        <v>1610</v>
      </c>
      <c r="H572">
        <v>0.02</v>
      </c>
      <c r="I572">
        <v>32.200000000000003</v>
      </c>
      <c r="J572" t="s">
        <v>37</v>
      </c>
    </row>
    <row r="573" spans="1:10" x14ac:dyDescent="0.25">
      <c r="A573" t="s">
        <v>603</v>
      </c>
      <c r="B573" s="1">
        <v>43303</v>
      </c>
      <c r="C573" t="s">
        <v>15</v>
      </c>
      <c r="D573" t="s">
        <v>12</v>
      </c>
      <c r="E573">
        <v>5</v>
      </c>
      <c r="F573">
        <v>40</v>
      </c>
      <c r="G573">
        <v>200</v>
      </c>
      <c r="H573">
        <v>0.06</v>
      </c>
      <c r="I573">
        <v>12</v>
      </c>
      <c r="J573" t="s">
        <v>39</v>
      </c>
    </row>
    <row r="574" spans="1:10" x14ac:dyDescent="0.25">
      <c r="A574" t="s">
        <v>604</v>
      </c>
      <c r="B574" s="1">
        <v>43303</v>
      </c>
      <c r="C574" t="s">
        <v>34</v>
      </c>
      <c r="D574" t="s">
        <v>24</v>
      </c>
      <c r="E574">
        <v>9</v>
      </c>
      <c r="F574">
        <v>150</v>
      </c>
      <c r="G574">
        <v>1350</v>
      </c>
      <c r="H574">
        <v>0.06</v>
      </c>
      <c r="I574">
        <v>81</v>
      </c>
      <c r="J574" t="s">
        <v>32</v>
      </c>
    </row>
    <row r="575" spans="1:10" x14ac:dyDescent="0.25">
      <c r="A575" t="s">
        <v>605</v>
      </c>
      <c r="B575" s="1">
        <v>43303</v>
      </c>
      <c r="C575" t="s">
        <v>15</v>
      </c>
      <c r="D575" t="s">
        <v>31</v>
      </c>
      <c r="E575">
        <v>20</v>
      </c>
      <c r="F575">
        <v>40</v>
      </c>
      <c r="G575">
        <v>800</v>
      </c>
      <c r="H575">
        <v>7.0000000000000007E-2</v>
      </c>
      <c r="I575">
        <v>56.000000000000007</v>
      </c>
      <c r="J575" t="s">
        <v>35</v>
      </c>
    </row>
    <row r="576" spans="1:10" x14ac:dyDescent="0.25">
      <c r="A576" t="s">
        <v>606</v>
      </c>
      <c r="B576" s="1">
        <v>43303</v>
      </c>
      <c r="C576" t="s">
        <v>30</v>
      </c>
      <c r="D576" t="s">
        <v>16</v>
      </c>
      <c r="E576">
        <v>20</v>
      </c>
      <c r="F576">
        <v>16</v>
      </c>
      <c r="G576">
        <v>320</v>
      </c>
      <c r="H576">
        <v>0.06</v>
      </c>
      <c r="I576">
        <v>19.2</v>
      </c>
      <c r="J576" t="s">
        <v>37</v>
      </c>
    </row>
    <row r="577" spans="1:10" x14ac:dyDescent="0.25">
      <c r="A577" t="s">
        <v>607</v>
      </c>
      <c r="B577" s="1">
        <v>43303</v>
      </c>
      <c r="C577" t="s">
        <v>15</v>
      </c>
      <c r="D577" t="s">
        <v>31</v>
      </c>
      <c r="E577">
        <v>5</v>
      </c>
      <c r="F577">
        <v>40</v>
      </c>
      <c r="G577">
        <v>200</v>
      </c>
      <c r="H577">
        <v>0.03</v>
      </c>
      <c r="I577">
        <v>6</v>
      </c>
      <c r="J577" t="s">
        <v>39</v>
      </c>
    </row>
    <row r="578" spans="1:10" x14ac:dyDescent="0.25">
      <c r="A578" t="s">
        <v>608</v>
      </c>
      <c r="B578" s="1">
        <v>43304</v>
      </c>
      <c r="C578" t="s">
        <v>11</v>
      </c>
      <c r="D578" t="s">
        <v>27</v>
      </c>
      <c r="E578">
        <v>7</v>
      </c>
      <c r="F578">
        <v>80</v>
      </c>
      <c r="G578">
        <v>560</v>
      </c>
      <c r="H578">
        <v>7.0000000000000007E-2</v>
      </c>
      <c r="I578">
        <v>39.200000000000003</v>
      </c>
      <c r="J578" t="s">
        <v>32</v>
      </c>
    </row>
    <row r="579" spans="1:10" x14ac:dyDescent="0.25">
      <c r="A579" t="s">
        <v>609</v>
      </c>
      <c r="B579" s="1">
        <v>43304</v>
      </c>
      <c r="C579" t="s">
        <v>30</v>
      </c>
      <c r="D579" t="s">
        <v>31</v>
      </c>
      <c r="E579">
        <v>22</v>
      </c>
      <c r="F579">
        <v>16</v>
      </c>
      <c r="G579">
        <v>352</v>
      </c>
      <c r="H579">
        <v>0.12</v>
      </c>
      <c r="I579">
        <v>42.239999999999995</v>
      </c>
      <c r="J579" t="s">
        <v>35</v>
      </c>
    </row>
    <row r="580" spans="1:10" x14ac:dyDescent="0.25">
      <c r="A580" t="s">
        <v>610</v>
      </c>
      <c r="B580" s="1">
        <v>43304</v>
      </c>
      <c r="C580" t="s">
        <v>30</v>
      </c>
      <c r="D580" t="s">
        <v>31</v>
      </c>
      <c r="E580">
        <v>11</v>
      </c>
      <c r="F580">
        <v>16</v>
      </c>
      <c r="G580">
        <v>176</v>
      </c>
      <c r="H580">
        <v>0.12</v>
      </c>
      <c r="I580">
        <v>21.119999999999997</v>
      </c>
      <c r="J580" t="s">
        <v>37</v>
      </c>
    </row>
    <row r="581" spans="1:10" x14ac:dyDescent="0.25">
      <c r="A581" t="s">
        <v>611</v>
      </c>
      <c r="B581" s="1">
        <v>43304</v>
      </c>
      <c r="C581" t="s">
        <v>19</v>
      </c>
      <c r="D581" t="s">
        <v>27</v>
      </c>
      <c r="E581">
        <v>17</v>
      </c>
      <c r="F581">
        <v>230</v>
      </c>
      <c r="G581">
        <v>3910</v>
      </c>
      <c r="H581">
        <v>0.12</v>
      </c>
      <c r="I581">
        <v>469.2</v>
      </c>
      <c r="J581" t="s">
        <v>39</v>
      </c>
    </row>
    <row r="582" spans="1:10" x14ac:dyDescent="0.25">
      <c r="A582" t="s">
        <v>612</v>
      </c>
      <c r="B582" s="1">
        <v>43304</v>
      </c>
      <c r="C582" t="s">
        <v>11</v>
      </c>
      <c r="D582" t="s">
        <v>12</v>
      </c>
      <c r="E582">
        <v>7</v>
      </c>
      <c r="F582">
        <v>80</v>
      </c>
      <c r="G582">
        <v>560</v>
      </c>
      <c r="H582">
        <v>0.02</v>
      </c>
      <c r="I582">
        <v>11.200000000000001</v>
      </c>
      <c r="J582" t="s">
        <v>32</v>
      </c>
    </row>
    <row r="583" spans="1:10" x14ac:dyDescent="0.25">
      <c r="A583" t="s">
        <v>613</v>
      </c>
      <c r="B583" s="1">
        <v>43304</v>
      </c>
      <c r="C583" t="s">
        <v>30</v>
      </c>
      <c r="D583" t="s">
        <v>16</v>
      </c>
      <c r="E583">
        <v>5</v>
      </c>
      <c r="F583">
        <v>16</v>
      </c>
      <c r="G583">
        <v>80</v>
      </c>
      <c r="H583">
        <v>0.11</v>
      </c>
      <c r="I583">
        <v>8.8000000000000007</v>
      </c>
      <c r="J583" t="s">
        <v>35</v>
      </c>
    </row>
    <row r="584" spans="1:10" x14ac:dyDescent="0.25">
      <c r="A584" t="s">
        <v>614</v>
      </c>
      <c r="B584" s="1">
        <v>43304</v>
      </c>
      <c r="C584" t="s">
        <v>34</v>
      </c>
      <c r="D584" t="s">
        <v>31</v>
      </c>
      <c r="E584">
        <v>18</v>
      </c>
      <c r="F584">
        <v>150</v>
      </c>
      <c r="G584">
        <v>2700</v>
      </c>
      <c r="H584">
        <v>0.12</v>
      </c>
      <c r="I584">
        <v>324</v>
      </c>
      <c r="J584" t="s">
        <v>37</v>
      </c>
    </row>
    <row r="585" spans="1:10" x14ac:dyDescent="0.25">
      <c r="A585" t="s">
        <v>615</v>
      </c>
      <c r="B585" s="1">
        <v>43304</v>
      </c>
      <c r="C585" t="s">
        <v>15</v>
      </c>
      <c r="D585" t="s">
        <v>31</v>
      </c>
      <c r="E585">
        <v>10</v>
      </c>
      <c r="F585">
        <v>40</v>
      </c>
      <c r="G585">
        <v>400</v>
      </c>
      <c r="H585">
        <v>0.03</v>
      </c>
      <c r="I585">
        <v>12</v>
      </c>
      <c r="J585" t="s">
        <v>39</v>
      </c>
    </row>
    <row r="586" spans="1:10" x14ac:dyDescent="0.25">
      <c r="A586" t="s">
        <v>616</v>
      </c>
      <c r="B586" s="1">
        <v>43304</v>
      </c>
      <c r="C586" t="s">
        <v>15</v>
      </c>
      <c r="D586" t="s">
        <v>31</v>
      </c>
      <c r="E586">
        <v>14</v>
      </c>
      <c r="F586">
        <v>40</v>
      </c>
      <c r="G586">
        <v>560</v>
      </c>
      <c r="H586">
        <v>0.11</v>
      </c>
      <c r="I586">
        <v>61.6</v>
      </c>
      <c r="J586" t="s">
        <v>32</v>
      </c>
    </row>
    <row r="587" spans="1:10" x14ac:dyDescent="0.25">
      <c r="A587" t="s">
        <v>617</v>
      </c>
      <c r="B587" s="1">
        <v>43304</v>
      </c>
      <c r="C587" t="s">
        <v>15</v>
      </c>
      <c r="D587" t="s">
        <v>31</v>
      </c>
      <c r="E587">
        <v>16</v>
      </c>
      <c r="F587">
        <v>40</v>
      </c>
      <c r="G587">
        <v>640</v>
      </c>
      <c r="H587">
        <v>0.09</v>
      </c>
      <c r="I587">
        <v>57.599999999999994</v>
      </c>
      <c r="J587" t="s">
        <v>35</v>
      </c>
    </row>
    <row r="588" spans="1:10" x14ac:dyDescent="0.25">
      <c r="A588" t="s">
        <v>618</v>
      </c>
      <c r="B588" s="1">
        <v>43305</v>
      </c>
      <c r="C588" t="s">
        <v>15</v>
      </c>
      <c r="D588" t="s">
        <v>27</v>
      </c>
      <c r="E588">
        <v>23</v>
      </c>
      <c r="F588">
        <v>40</v>
      </c>
      <c r="G588">
        <v>920</v>
      </c>
      <c r="H588">
        <v>0.06</v>
      </c>
      <c r="I588">
        <v>55.199999999999996</v>
      </c>
      <c r="J588" t="s">
        <v>37</v>
      </c>
    </row>
    <row r="589" spans="1:10" x14ac:dyDescent="0.25">
      <c r="A589" t="s">
        <v>619</v>
      </c>
      <c r="B589" s="1">
        <v>43305</v>
      </c>
      <c r="C589" t="s">
        <v>19</v>
      </c>
      <c r="D589" t="s">
        <v>27</v>
      </c>
      <c r="E589">
        <v>8</v>
      </c>
      <c r="F589">
        <v>230</v>
      </c>
      <c r="G589">
        <v>1840</v>
      </c>
      <c r="H589">
        <v>0.05</v>
      </c>
      <c r="I589">
        <v>92</v>
      </c>
      <c r="J589" t="s">
        <v>39</v>
      </c>
    </row>
    <row r="590" spans="1:10" x14ac:dyDescent="0.25">
      <c r="A590" t="s">
        <v>620</v>
      </c>
      <c r="B590" s="1">
        <v>43305</v>
      </c>
      <c r="C590" t="s">
        <v>30</v>
      </c>
      <c r="D590" t="s">
        <v>27</v>
      </c>
      <c r="E590">
        <v>14</v>
      </c>
      <c r="F590">
        <v>16</v>
      </c>
      <c r="G590">
        <v>224</v>
      </c>
      <c r="H590">
        <v>0.12</v>
      </c>
      <c r="I590">
        <v>26.88</v>
      </c>
      <c r="J590" t="s">
        <v>32</v>
      </c>
    </row>
    <row r="591" spans="1:10" x14ac:dyDescent="0.25">
      <c r="A591" t="s">
        <v>621</v>
      </c>
      <c r="B591" s="1">
        <v>43305</v>
      </c>
      <c r="C591" t="s">
        <v>11</v>
      </c>
      <c r="D591" t="s">
        <v>12</v>
      </c>
      <c r="E591">
        <v>17</v>
      </c>
      <c r="F591">
        <v>80</v>
      </c>
      <c r="G591">
        <v>1360</v>
      </c>
      <c r="H591">
        <v>0.09</v>
      </c>
      <c r="I591">
        <v>122.39999999999999</v>
      </c>
      <c r="J591" t="s">
        <v>35</v>
      </c>
    </row>
    <row r="592" spans="1:10" x14ac:dyDescent="0.25">
      <c r="A592" t="s">
        <v>622</v>
      </c>
      <c r="B592" s="1">
        <v>43305</v>
      </c>
      <c r="C592" t="s">
        <v>34</v>
      </c>
      <c r="D592" t="s">
        <v>24</v>
      </c>
      <c r="E592">
        <v>11</v>
      </c>
      <c r="F592">
        <v>150</v>
      </c>
      <c r="G592">
        <v>1650</v>
      </c>
      <c r="H592">
        <v>0.11</v>
      </c>
      <c r="I592">
        <v>181.5</v>
      </c>
      <c r="J592" t="s">
        <v>37</v>
      </c>
    </row>
    <row r="593" spans="1:10" x14ac:dyDescent="0.25">
      <c r="A593" t="s">
        <v>623</v>
      </c>
      <c r="B593" s="1">
        <v>43305</v>
      </c>
      <c r="C593" t="s">
        <v>15</v>
      </c>
      <c r="D593" t="s">
        <v>27</v>
      </c>
      <c r="E593">
        <v>15</v>
      </c>
      <c r="F593">
        <v>40</v>
      </c>
      <c r="G593">
        <v>600</v>
      </c>
      <c r="H593">
        <v>0.03</v>
      </c>
      <c r="I593">
        <v>18</v>
      </c>
      <c r="J593" t="s">
        <v>39</v>
      </c>
    </row>
    <row r="594" spans="1:10" x14ac:dyDescent="0.25">
      <c r="A594" t="s">
        <v>624</v>
      </c>
      <c r="B594" s="1">
        <v>43305</v>
      </c>
      <c r="C594" t="s">
        <v>11</v>
      </c>
      <c r="D594" t="s">
        <v>31</v>
      </c>
      <c r="E594">
        <v>9</v>
      </c>
      <c r="F594">
        <v>80</v>
      </c>
      <c r="G594">
        <v>720</v>
      </c>
      <c r="H594">
        <v>7.0000000000000007E-2</v>
      </c>
      <c r="I594">
        <v>50.400000000000006</v>
      </c>
      <c r="J594" t="s">
        <v>32</v>
      </c>
    </row>
    <row r="595" spans="1:10" x14ac:dyDescent="0.25">
      <c r="A595" t="s">
        <v>625</v>
      </c>
      <c r="B595" s="1">
        <v>43305</v>
      </c>
      <c r="C595" t="s">
        <v>19</v>
      </c>
      <c r="D595" t="s">
        <v>16</v>
      </c>
      <c r="E595">
        <v>22</v>
      </c>
      <c r="F595">
        <v>230</v>
      </c>
      <c r="G595">
        <v>5060</v>
      </c>
      <c r="H595">
        <v>0.04</v>
      </c>
      <c r="I595">
        <v>202.4</v>
      </c>
      <c r="J595" t="s">
        <v>35</v>
      </c>
    </row>
    <row r="596" spans="1:10" x14ac:dyDescent="0.25">
      <c r="A596" t="s">
        <v>626</v>
      </c>
      <c r="B596" s="1">
        <v>43305</v>
      </c>
      <c r="C596" t="s">
        <v>19</v>
      </c>
      <c r="D596" t="s">
        <v>16</v>
      </c>
      <c r="E596">
        <v>11</v>
      </c>
      <c r="F596">
        <v>230</v>
      </c>
      <c r="G596">
        <v>2530</v>
      </c>
      <c r="H596">
        <v>0.1</v>
      </c>
      <c r="I596">
        <v>253</v>
      </c>
      <c r="J596" t="s">
        <v>37</v>
      </c>
    </row>
    <row r="597" spans="1:10" x14ac:dyDescent="0.25">
      <c r="A597" t="s">
        <v>627</v>
      </c>
      <c r="B597" s="1">
        <v>43305</v>
      </c>
      <c r="C597" t="s">
        <v>15</v>
      </c>
      <c r="D597" t="s">
        <v>24</v>
      </c>
      <c r="E597">
        <v>11</v>
      </c>
      <c r="F597">
        <v>40</v>
      </c>
      <c r="G597">
        <v>440</v>
      </c>
      <c r="H597">
        <v>0.12</v>
      </c>
      <c r="I597">
        <v>52.8</v>
      </c>
      <c r="J597" t="s">
        <v>39</v>
      </c>
    </row>
    <row r="598" spans="1:10" x14ac:dyDescent="0.25">
      <c r="A598" t="s">
        <v>628</v>
      </c>
      <c r="B598" s="1">
        <v>43305</v>
      </c>
      <c r="C598" t="s">
        <v>15</v>
      </c>
      <c r="D598" t="s">
        <v>27</v>
      </c>
      <c r="E598">
        <v>9</v>
      </c>
      <c r="F598">
        <v>40</v>
      </c>
      <c r="G598">
        <v>360</v>
      </c>
      <c r="H598">
        <v>0.06</v>
      </c>
      <c r="I598">
        <v>21.599999999999998</v>
      </c>
      <c r="J598" t="s">
        <v>32</v>
      </c>
    </row>
    <row r="599" spans="1:10" x14ac:dyDescent="0.25">
      <c r="A599" t="s">
        <v>629</v>
      </c>
      <c r="B599" s="1">
        <v>43306</v>
      </c>
      <c r="C599" t="s">
        <v>15</v>
      </c>
      <c r="D599" t="s">
        <v>27</v>
      </c>
      <c r="E599">
        <v>13</v>
      </c>
      <c r="F599">
        <v>40</v>
      </c>
      <c r="G599">
        <v>520</v>
      </c>
      <c r="H599">
        <v>0.09</v>
      </c>
      <c r="I599">
        <v>46.8</v>
      </c>
      <c r="J599" t="s">
        <v>35</v>
      </c>
    </row>
    <row r="600" spans="1:10" x14ac:dyDescent="0.25">
      <c r="A600" t="s">
        <v>630</v>
      </c>
      <c r="B600" s="1">
        <v>43306</v>
      </c>
      <c r="C600" t="s">
        <v>15</v>
      </c>
      <c r="D600" t="s">
        <v>16</v>
      </c>
      <c r="E600">
        <v>4</v>
      </c>
      <c r="F600">
        <v>40</v>
      </c>
      <c r="G600">
        <v>160</v>
      </c>
      <c r="H600">
        <v>0.12</v>
      </c>
      <c r="I600">
        <v>19.2</v>
      </c>
      <c r="J600" t="s">
        <v>37</v>
      </c>
    </row>
    <row r="601" spans="1:10" x14ac:dyDescent="0.25">
      <c r="A601" t="s">
        <v>631</v>
      </c>
      <c r="B601" s="1">
        <v>43306</v>
      </c>
      <c r="C601" t="s">
        <v>34</v>
      </c>
      <c r="D601" t="s">
        <v>12</v>
      </c>
      <c r="E601">
        <v>22</v>
      </c>
      <c r="F601">
        <v>150</v>
      </c>
      <c r="G601">
        <v>3300</v>
      </c>
      <c r="H601">
        <v>0.05</v>
      </c>
      <c r="I601">
        <v>165</v>
      </c>
      <c r="J601" t="s">
        <v>39</v>
      </c>
    </row>
    <row r="602" spans="1:10" x14ac:dyDescent="0.25">
      <c r="A602" t="s">
        <v>632</v>
      </c>
      <c r="B602" s="1">
        <v>43306</v>
      </c>
      <c r="C602" t="s">
        <v>15</v>
      </c>
      <c r="D602" t="s">
        <v>31</v>
      </c>
      <c r="E602">
        <v>21</v>
      </c>
      <c r="F602">
        <v>40</v>
      </c>
      <c r="G602">
        <v>840</v>
      </c>
      <c r="H602">
        <v>0.01</v>
      </c>
      <c r="I602">
        <v>8.4</v>
      </c>
      <c r="J602" t="s">
        <v>32</v>
      </c>
    </row>
    <row r="603" spans="1:10" x14ac:dyDescent="0.25">
      <c r="A603" t="s">
        <v>633</v>
      </c>
      <c r="B603" s="1">
        <v>43306</v>
      </c>
      <c r="C603" t="s">
        <v>30</v>
      </c>
      <c r="D603" t="s">
        <v>12</v>
      </c>
      <c r="E603">
        <v>16</v>
      </c>
      <c r="F603">
        <v>16</v>
      </c>
      <c r="G603">
        <v>256</v>
      </c>
      <c r="H603">
        <v>0.03</v>
      </c>
      <c r="I603">
        <v>7.68</v>
      </c>
      <c r="J603" t="s">
        <v>35</v>
      </c>
    </row>
    <row r="604" spans="1:10" x14ac:dyDescent="0.25">
      <c r="A604" t="s">
        <v>634</v>
      </c>
      <c r="B604" s="1">
        <v>43306</v>
      </c>
      <c r="C604" t="s">
        <v>11</v>
      </c>
      <c r="D604" t="s">
        <v>27</v>
      </c>
      <c r="E604">
        <v>16</v>
      </c>
      <c r="F604">
        <v>80</v>
      </c>
      <c r="G604">
        <v>1280</v>
      </c>
      <c r="H604">
        <v>7.0000000000000007E-2</v>
      </c>
      <c r="I604">
        <v>89.600000000000009</v>
      </c>
      <c r="J604" t="s">
        <v>37</v>
      </c>
    </row>
    <row r="605" spans="1:10" x14ac:dyDescent="0.25">
      <c r="A605" t="s">
        <v>635</v>
      </c>
      <c r="B605" s="1">
        <v>43306</v>
      </c>
      <c r="C605" t="s">
        <v>11</v>
      </c>
      <c r="D605" t="s">
        <v>16</v>
      </c>
      <c r="E605">
        <v>15</v>
      </c>
      <c r="F605">
        <v>80</v>
      </c>
      <c r="G605">
        <v>1200</v>
      </c>
      <c r="H605">
        <v>0.12</v>
      </c>
      <c r="I605">
        <v>144</v>
      </c>
      <c r="J605" t="s">
        <v>39</v>
      </c>
    </row>
    <row r="606" spans="1:10" x14ac:dyDescent="0.25">
      <c r="A606" t="s">
        <v>636</v>
      </c>
      <c r="B606" s="1">
        <v>43306</v>
      </c>
      <c r="C606" t="s">
        <v>34</v>
      </c>
      <c r="D606" t="s">
        <v>12</v>
      </c>
      <c r="E606">
        <v>20</v>
      </c>
      <c r="F606">
        <v>150</v>
      </c>
      <c r="G606">
        <v>3000</v>
      </c>
      <c r="H606">
        <v>0.03</v>
      </c>
      <c r="I606">
        <v>90</v>
      </c>
      <c r="J606" t="s">
        <v>32</v>
      </c>
    </row>
    <row r="607" spans="1:10" x14ac:dyDescent="0.25">
      <c r="A607" t="s">
        <v>637</v>
      </c>
      <c r="B607" s="1">
        <v>43306</v>
      </c>
      <c r="C607" t="s">
        <v>15</v>
      </c>
      <c r="D607" t="s">
        <v>27</v>
      </c>
      <c r="E607">
        <v>13</v>
      </c>
      <c r="F607">
        <v>40</v>
      </c>
      <c r="G607">
        <v>520</v>
      </c>
      <c r="H607">
        <v>0.06</v>
      </c>
      <c r="I607">
        <v>31.2</v>
      </c>
      <c r="J607" t="s">
        <v>35</v>
      </c>
    </row>
    <row r="608" spans="1:10" x14ac:dyDescent="0.25">
      <c r="A608" t="s">
        <v>638</v>
      </c>
      <c r="B608" s="1">
        <v>43306</v>
      </c>
      <c r="C608" t="s">
        <v>30</v>
      </c>
      <c r="D608" t="s">
        <v>31</v>
      </c>
      <c r="E608">
        <v>3</v>
      </c>
      <c r="F608">
        <v>16</v>
      </c>
      <c r="G608">
        <v>48</v>
      </c>
      <c r="H608">
        <v>0.06</v>
      </c>
      <c r="I608">
        <v>2.88</v>
      </c>
      <c r="J608" t="s">
        <v>37</v>
      </c>
    </row>
    <row r="609" spans="1:10" x14ac:dyDescent="0.25">
      <c r="A609" t="s">
        <v>639</v>
      </c>
      <c r="B609" s="1">
        <v>43306</v>
      </c>
      <c r="C609" t="s">
        <v>30</v>
      </c>
      <c r="D609" t="s">
        <v>24</v>
      </c>
      <c r="E609">
        <v>11</v>
      </c>
      <c r="F609">
        <v>16</v>
      </c>
      <c r="G609">
        <v>176</v>
      </c>
      <c r="H609">
        <v>0.04</v>
      </c>
      <c r="I609">
        <v>7.04</v>
      </c>
      <c r="J609" t="s">
        <v>39</v>
      </c>
    </row>
    <row r="610" spans="1:10" x14ac:dyDescent="0.25">
      <c r="A610" t="s">
        <v>640</v>
      </c>
      <c r="B610" s="1">
        <v>43307</v>
      </c>
      <c r="C610" t="s">
        <v>15</v>
      </c>
      <c r="D610" t="s">
        <v>31</v>
      </c>
      <c r="E610">
        <v>16</v>
      </c>
      <c r="F610">
        <v>40</v>
      </c>
      <c r="G610">
        <v>640</v>
      </c>
      <c r="H610">
        <v>0.09</v>
      </c>
      <c r="I610">
        <v>57.599999999999994</v>
      </c>
      <c r="J610" t="s">
        <v>32</v>
      </c>
    </row>
    <row r="611" spans="1:10" x14ac:dyDescent="0.25">
      <c r="A611" t="s">
        <v>641</v>
      </c>
      <c r="B611" s="1">
        <v>43307</v>
      </c>
      <c r="C611" t="s">
        <v>15</v>
      </c>
      <c r="D611" t="s">
        <v>24</v>
      </c>
      <c r="E611">
        <v>4</v>
      </c>
      <c r="F611">
        <v>40</v>
      </c>
      <c r="G611">
        <v>160</v>
      </c>
      <c r="H611">
        <v>0.06</v>
      </c>
      <c r="I611">
        <v>9.6</v>
      </c>
      <c r="J611" t="s">
        <v>35</v>
      </c>
    </row>
    <row r="612" spans="1:10" x14ac:dyDescent="0.25">
      <c r="A612" t="s">
        <v>642</v>
      </c>
      <c r="B612" s="1">
        <v>43307</v>
      </c>
      <c r="C612" t="s">
        <v>15</v>
      </c>
      <c r="D612" t="s">
        <v>24</v>
      </c>
      <c r="E612">
        <v>20</v>
      </c>
      <c r="F612">
        <v>40</v>
      </c>
      <c r="G612">
        <v>800</v>
      </c>
      <c r="H612">
        <v>0.01</v>
      </c>
      <c r="I612">
        <v>8</v>
      </c>
      <c r="J612" t="s">
        <v>37</v>
      </c>
    </row>
    <row r="613" spans="1:10" x14ac:dyDescent="0.25">
      <c r="A613" t="s">
        <v>643</v>
      </c>
      <c r="B613" s="1">
        <v>43307</v>
      </c>
      <c r="C613" t="s">
        <v>15</v>
      </c>
      <c r="D613" t="s">
        <v>24</v>
      </c>
      <c r="E613">
        <v>4</v>
      </c>
      <c r="F613">
        <v>40</v>
      </c>
      <c r="G613">
        <v>160</v>
      </c>
      <c r="H613">
        <v>0.1</v>
      </c>
      <c r="I613">
        <v>16</v>
      </c>
      <c r="J613" t="s">
        <v>39</v>
      </c>
    </row>
    <row r="614" spans="1:10" x14ac:dyDescent="0.25">
      <c r="A614" t="s">
        <v>644</v>
      </c>
      <c r="B614" s="1">
        <v>43307</v>
      </c>
      <c r="C614" t="s">
        <v>11</v>
      </c>
      <c r="D614" t="s">
        <v>16</v>
      </c>
      <c r="E614">
        <v>14</v>
      </c>
      <c r="F614">
        <v>80</v>
      </c>
      <c r="G614">
        <v>1120</v>
      </c>
      <c r="H614">
        <v>0.06</v>
      </c>
      <c r="I614">
        <v>67.2</v>
      </c>
      <c r="J614" t="s">
        <v>32</v>
      </c>
    </row>
    <row r="615" spans="1:10" x14ac:dyDescent="0.25">
      <c r="A615" t="s">
        <v>645</v>
      </c>
      <c r="B615" s="1">
        <v>43307</v>
      </c>
      <c r="C615" t="s">
        <v>34</v>
      </c>
      <c r="D615" t="s">
        <v>16</v>
      </c>
      <c r="E615">
        <v>15</v>
      </c>
      <c r="F615">
        <v>150</v>
      </c>
      <c r="G615">
        <v>2250</v>
      </c>
      <c r="H615">
        <v>0.02</v>
      </c>
      <c r="I615">
        <v>45</v>
      </c>
      <c r="J615" t="s">
        <v>35</v>
      </c>
    </row>
    <row r="616" spans="1:10" x14ac:dyDescent="0.25">
      <c r="A616" t="s">
        <v>646</v>
      </c>
      <c r="B616" s="1">
        <v>43307</v>
      </c>
      <c r="C616" t="s">
        <v>11</v>
      </c>
      <c r="D616" t="s">
        <v>24</v>
      </c>
      <c r="E616">
        <v>14</v>
      </c>
      <c r="F616">
        <v>80</v>
      </c>
      <c r="G616">
        <v>1120</v>
      </c>
      <c r="H616">
        <v>0.1</v>
      </c>
      <c r="I616">
        <v>112</v>
      </c>
      <c r="J616" t="s">
        <v>37</v>
      </c>
    </row>
    <row r="617" spans="1:10" x14ac:dyDescent="0.25">
      <c r="A617" t="s">
        <v>647</v>
      </c>
      <c r="B617" s="1">
        <v>43307</v>
      </c>
      <c r="C617" t="s">
        <v>34</v>
      </c>
      <c r="D617" t="s">
        <v>12</v>
      </c>
      <c r="E617">
        <v>20</v>
      </c>
      <c r="F617">
        <v>150</v>
      </c>
      <c r="G617">
        <v>3000</v>
      </c>
      <c r="H617">
        <v>0.04</v>
      </c>
      <c r="I617">
        <v>120</v>
      </c>
      <c r="J617" t="s">
        <v>39</v>
      </c>
    </row>
    <row r="618" spans="1:10" x14ac:dyDescent="0.25">
      <c r="A618" t="s">
        <v>648</v>
      </c>
      <c r="B618" s="1">
        <v>43307</v>
      </c>
      <c r="C618" t="s">
        <v>11</v>
      </c>
      <c r="D618" t="s">
        <v>31</v>
      </c>
      <c r="E618">
        <v>22</v>
      </c>
      <c r="F618">
        <v>80</v>
      </c>
      <c r="G618">
        <v>1760</v>
      </c>
      <c r="H618">
        <v>0.1</v>
      </c>
      <c r="I618">
        <v>176</v>
      </c>
      <c r="J618" t="s">
        <v>32</v>
      </c>
    </row>
    <row r="619" spans="1:10" x14ac:dyDescent="0.25">
      <c r="A619" t="s">
        <v>649</v>
      </c>
      <c r="B619" s="1">
        <v>43307</v>
      </c>
      <c r="C619" t="s">
        <v>19</v>
      </c>
      <c r="D619" t="s">
        <v>31</v>
      </c>
      <c r="E619">
        <v>20</v>
      </c>
      <c r="F619">
        <v>230</v>
      </c>
      <c r="G619">
        <v>4600</v>
      </c>
      <c r="H619">
        <v>0.09</v>
      </c>
      <c r="I619">
        <v>414</v>
      </c>
      <c r="J619" t="s">
        <v>35</v>
      </c>
    </row>
    <row r="620" spans="1:10" x14ac:dyDescent="0.25">
      <c r="A620" t="s">
        <v>650</v>
      </c>
      <c r="B620" s="1">
        <v>43307</v>
      </c>
      <c r="C620" t="s">
        <v>19</v>
      </c>
      <c r="D620" t="s">
        <v>24</v>
      </c>
      <c r="E620">
        <v>12</v>
      </c>
      <c r="F620">
        <v>230</v>
      </c>
      <c r="G620">
        <v>2760</v>
      </c>
      <c r="H620">
        <v>0.03</v>
      </c>
      <c r="I620">
        <v>82.8</v>
      </c>
      <c r="J620" t="s">
        <v>37</v>
      </c>
    </row>
    <row r="621" spans="1:10" x14ac:dyDescent="0.25">
      <c r="A621" t="s">
        <v>651</v>
      </c>
      <c r="B621" s="1">
        <v>43308</v>
      </c>
      <c r="C621" t="s">
        <v>11</v>
      </c>
      <c r="D621" t="s">
        <v>12</v>
      </c>
      <c r="E621">
        <v>21</v>
      </c>
      <c r="F621">
        <v>80</v>
      </c>
      <c r="G621">
        <v>1680</v>
      </c>
      <c r="H621">
        <v>0.04</v>
      </c>
      <c r="I621">
        <v>67.2</v>
      </c>
      <c r="J621" t="s">
        <v>39</v>
      </c>
    </row>
    <row r="622" spans="1:10" x14ac:dyDescent="0.25">
      <c r="A622" t="s">
        <v>652</v>
      </c>
      <c r="B622" s="1">
        <v>43308</v>
      </c>
      <c r="C622" t="s">
        <v>15</v>
      </c>
      <c r="D622" t="s">
        <v>16</v>
      </c>
      <c r="E622">
        <v>15</v>
      </c>
      <c r="F622">
        <v>40</v>
      </c>
      <c r="G622">
        <v>600</v>
      </c>
      <c r="H622">
        <v>0.04</v>
      </c>
      <c r="I622">
        <v>24</v>
      </c>
      <c r="J622" t="s">
        <v>32</v>
      </c>
    </row>
    <row r="623" spans="1:10" x14ac:dyDescent="0.25">
      <c r="A623" t="s">
        <v>653</v>
      </c>
      <c r="B623" s="1">
        <v>43308</v>
      </c>
      <c r="C623" t="s">
        <v>11</v>
      </c>
      <c r="D623" t="s">
        <v>27</v>
      </c>
      <c r="E623">
        <v>16</v>
      </c>
      <c r="F623">
        <v>80</v>
      </c>
      <c r="G623">
        <v>1280</v>
      </c>
      <c r="H623">
        <v>0.1</v>
      </c>
      <c r="I623">
        <v>128</v>
      </c>
      <c r="J623" t="s">
        <v>35</v>
      </c>
    </row>
    <row r="624" spans="1:10" x14ac:dyDescent="0.25">
      <c r="A624" t="s">
        <v>654</v>
      </c>
      <c r="B624" s="1">
        <v>43308</v>
      </c>
      <c r="C624" t="s">
        <v>19</v>
      </c>
      <c r="D624" t="s">
        <v>31</v>
      </c>
      <c r="E624">
        <v>17</v>
      </c>
      <c r="F624">
        <v>230</v>
      </c>
      <c r="G624">
        <v>3910</v>
      </c>
      <c r="H624">
        <v>0.11</v>
      </c>
      <c r="I624">
        <v>430.1</v>
      </c>
      <c r="J624" t="s">
        <v>37</v>
      </c>
    </row>
    <row r="625" spans="1:10" x14ac:dyDescent="0.25">
      <c r="A625" t="s">
        <v>655</v>
      </c>
      <c r="B625" s="1">
        <v>43308</v>
      </c>
      <c r="C625" t="s">
        <v>19</v>
      </c>
      <c r="D625" t="s">
        <v>31</v>
      </c>
      <c r="E625">
        <v>5</v>
      </c>
      <c r="F625">
        <v>230</v>
      </c>
      <c r="G625">
        <v>1150</v>
      </c>
      <c r="H625">
        <v>0.12</v>
      </c>
      <c r="I625">
        <v>138</v>
      </c>
      <c r="J625" t="s">
        <v>39</v>
      </c>
    </row>
    <row r="626" spans="1:10" x14ac:dyDescent="0.25">
      <c r="A626" t="s">
        <v>656</v>
      </c>
      <c r="B626" s="1">
        <v>43308</v>
      </c>
      <c r="C626" t="s">
        <v>30</v>
      </c>
      <c r="D626" t="s">
        <v>12</v>
      </c>
      <c r="E626">
        <v>20</v>
      </c>
      <c r="F626">
        <v>16</v>
      </c>
      <c r="G626">
        <v>320</v>
      </c>
      <c r="H626">
        <v>0.01</v>
      </c>
      <c r="I626">
        <v>3.2</v>
      </c>
      <c r="J626" t="s">
        <v>32</v>
      </c>
    </row>
    <row r="627" spans="1:10" x14ac:dyDescent="0.25">
      <c r="A627" t="s">
        <v>657</v>
      </c>
      <c r="B627" s="1">
        <v>43308</v>
      </c>
      <c r="C627" t="s">
        <v>19</v>
      </c>
      <c r="D627" t="s">
        <v>12</v>
      </c>
      <c r="E627">
        <v>5</v>
      </c>
      <c r="F627">
        <v>230</v>
      </c>
      <c r="G627">
        <v>1150</v>
      </c>
      <c r="H627">
        <v>0.1</v>
      </c>
      <c r="I627">
        <v>115</v>
      </c>
      <c r="J627" t="s">
        <v>35</v>
      </c>
    </row>
    <row r="628" spans="1:10" x14ac:dyDescent="0.25">
      <c r="A628" t="s">
        <v>658</v>
      </c>
      <c r="B628" s="1">
        <v>43308</v>
      </c>
      <c r="C628" t="s">
        <v>15</v>
      </c>
      <c r="D628" t="s">
        <v>16</v>
      </c>
      <c r="E628">
        <v>8</v>
      </c>
      <c r="F628">
        <v>40</v>
      </c>
      <c r="G628">
        <v>320</v>
      </c>
      <c r="H628">
        <v>0.09</v>
      </c>
      <c r="I628">
        <v>28.799999999999997</v>
      </c>
      <c r="J628" t="s">
        <v>37</v>
      </c>
    </row>
    <row r="629" spans="1:10" x14ac:dyDescent="0.25">
      <c r="A629" t="s">
        <v>659</v>
      </c>
      <c r="B629" s="1">
        <v>43308</v>
      </c>
      <c r="C629" t="s">
        <v>30</v>
      </c>
      <c r="D629" t="s">
        <v>12</v>
      </c>
      <c r="E629">
        <v>7</v>
      </c>
      <c r="F629">
        <v>16</v>
      </c>
      <c r="G629">
        <v>112</v>
      </c>
      <c r="H629">
        <v>0.02</v>
      </c>
      <c r="I629">
        <v>2.2400000000000002</v>
      </c>
      <c r="J629" t="s">
        <v>39</v>
      </c>
    </row>
    <row r="630" spans="1:10" x14ac:dyDescent="0.25">
      <c r="A630" t="s">
        <v>660</v>
      </c>
      <c r="B630" s="1">
        <v>43308</v>
      </c>
      <c r="C630" t="s">
        <v>34</v>
      </c>
      <c r="D630" t="s">
        <v>27</v>
      </c>
      <c r="E630">
        <v>15</v>
      </c>
      <c r="F630">
        <v>150</v>
      </c>
      <c r="G630">
        <v>2250</v>
      </c>
      <c r="H630">
        <v>0.08</v>
      </c>
      <c r="I630">
        <v>180</v>
      </c>
      <c r="J630" t="s">
        <v>32</v>
      </c>
    </row>
    <row r="631" spans="1:10" x14ac:dyDescent="0.25">
      <c r="A631" t="s">
        <v>661</v>
      </c>
      <c r="B631" s="1">
        <v>43308</v>
      </c>
      <c r="C631" t="s">
        <v>19</v>
      </c>
      <c r="D631" t="s">
        <v>31</v>
      </c>
      <c r="E631">
        <v>20</v>
      </c>
      <c r="F631">
        <v>230</v>
      </c>
      <c r="G631">
        <v>4600</v>
      </c>
      <c r="H631">
        <v>0.11</v>
      </c>
      <c r="I631">
        <v>506</v>
      </c>
      <c r="J631" t="s">
        <v>35</v>
      </c>
    </row>
    <row r="632" spans="1:10" x14ac:dyDescent="0.25">
      <c r="A632" t="s">
        <v>662</v>
      </c>
      <c r="B632" s="1">
        <v>43308</v>
      </c>
      <c r="C632" t="s">
        <v>30</v>
      </c>
      <c r="D632" t="s">
        <v>16</v>
      </c>
      <c r="E632">
        <v>4</v>
      </c>
      <c r="F632">
        <v>16</v>
      </c>
      <c r="G632">
        <v>64</v>
      </c>
      <c r="H632">
        <v>0.09</v>
      </c>
      <c r="I632">
        <v>5.76</v>
      </c>
      <c r="J632" t="s">
        <v>37</v>
      </c>
    </row>
    <row r="633" spans="1:10" x14ac:dyDescent="0.25">
      <c r="A633" t="s">
        <v>663</v>
      </c>
      <c r="B633" s="1">
        <v>43308</v>
      </c>
      <c r="C633" t="s">
        <v>15</v>
      </c>
      <c r="D633" t="s">
        <v>27</v>
      </c>
      <c r="E633">
        <v>11</v>
      </c>
      <c r="F633">
        <v>40</v>
      </c>
      <c r="G633">
        <v>440</v>
      </c>
      <c r="H633">
        <v>0.09</v>
      </c>
      <c r="I633">
        <v>39.6</v>
      </c>
      <c r="J633" t="s">
        <v>39</v>
      </c>
    </row>
    <row r="634" spans="1:10" x14ac:dyDescent="0.25">
      <c r="A634" t="s">
        <v>664</v>
      </c>
      <c r="B634" s="1">
        <v>43308</v>
      </c>
      <c r="C634" t="s">
        <v>34</v>
      </c>
      <c r="D634" t="s">
        <v>24</v>
      </c>
      <c r="E634">
        <v>15</v>
      </c>
      <c r="F634">
        <v>150</v>
      </c>
      <c r="G634">
        <v>2250</v>
      </c>
      <c r="H634">
        <v>0.05</v>
      </c>
      <c r="I634">
        <v>112.5</v>
      </c>
      <c r="J634" t="s">
        <v>32</v>
      </c>
    </row>
    <row r="635" spans="1:10" x14ac:dyDescent="0.25">
      <c r="A635" t="s">
        <v>665</v>
      </c>
      <c r="B635" s="1">
        <v>43308</v>
      </c>
      <c r="C635" t="s">
        <v>19</v>
      </c>
      <c r="D635" t="s">
        <v>24</v>
      </c>
      <c r="E635">
        <v>5</v>
      </c>
      <c r="F635">
        <v>230</v>
      </c>
      <c r="G635">
        <v>1150</v>
      </c>
      <c r="H635">
        <v>0.01</v>
      </c>
      <c r="I635">
        <v>11.5</v>
      </c>
      <c r="J635" t="s">
        <v>35</v>
      </c>
    </row>
    <row r="636" spans="1:10" x14ac:dyDescent="0.25">
      <c r="A636" t="s">
        <v>666</v>
      </c>
      <c r="B636" s="1">
        <v>43308</v>
      </c>
      <c r="C636" t="s">
        <v>19</v>
      </c>
      <c r="D636" t="s">
        <v>24</v>
      </c>
      <c r="E636">
        <v>14</v>
      </c>
      <c r="F636">
        <v>230</v>
      </c>
      <c r="G636">
        <v>3220</v>
      </c>
      <c r="H636">
        <v>0.03</v>
      </c>
      <c r="I636">
        <v>96.6</v>
      </c>
      <c r="J636" t="s">
        <v>37</v>
      </c>
    </row>
    <row r="637" spans="1:10" x14ac:dyDescent="0.25">
      <c r="A637" t="s">
        <v>667</v>
      </c>
      <c r="B637" s="1">
        <v>43308</v>
      </c>
      <c r="C637" t="s">
        <v>15</v>
      </c>
      <c r="D637" t="s">
        <v>31</v>
      </c>
      <c r="E637">
        <v>23</v>
      </c>
      <c r="F637">
        <v>40</v>
      </c>
      <c r="G637">
        <v>920</v>
      </c>
      <c r="H637">
        <v>0.05</v>
      </c>
      <c r="I637">
        <v>46</v>
      </c>
      <c r="J637" t="s">
        <v>39</v>
      </c>
    </row>
    <row r="638" spans="1:10" x14ac:dyDescent="0.25">
      <c r="A638" t="s">
        <v>668</v>
      </c>
      <c r="B638" s="1">
        <v>43308</v>
      </c>
      <c r="C638" t="s">
        <v>11</v>
      </c>
      <c r="D638" t="s">
        <v>27</v>
      </c>
      <c r="E638">
        <v>22</v>
      </c>
      <c r="F638">
        <v>80</v>
      </c>
      <c r="G638">
        <v>1760</v>
      </c>
      <c r="H638">
        <v>0.03</v>
      </c>
      <c r="I638">
        <v>52.8</v>
      </c>
      <c r="J638" t="s">
        <v>32</v>
      </c>
    </row>
    <row r="639" spans="1:10" x14ac:dyDescent="0.25">
      <c r="A639" t="s">
        <v>669</v>
      </c>
      <c r="B639" s="1">
        <v>43309</v>
      </c>
      <c r="C639" t="s">
        <v>19</v>
      </c>
      <c r="D639" t="s">
        <v>24</v>
      </c>
      <c r="E639">
        <v>20</v>
      </c>
      <c r="F639">
        <v>230</v>
      </c>
      <c r="G639">
        <v>4600</v>
      </c>
      <c r="H639">
        <v>0.06</v>
      </c>
      <c r="I639">
        <v>276</v>
      </c>
      <c r="J639" t="s">
        <v>35</v>
      </c>
    </row>
    <row r="640" spans="1:10" x14ac:dyDescent="0.25">
      <c r="A640" t="s">
        <v>670</v>
      </c>
      <c r="B640" s="1">
        <v>43309</v>
      </c>
      <c r="C640" t="s">
        <v>19</v>
      </c>
      <c r="D640" t="s">
        <v>16</v>
      </c>
      <c r="E640">
        <v>15</v>
      </c>
      <c r="F640">
        <v>230</v>
      </c>
      <c r="G640">
        <v>3450</v>
      </c>
      <c r="H640">
        <v>0.09</v>
      </c>
      <c r="I640">
        <v>310.5</v>
      </c>
      <c r="J640" t="s">
        <v>37</v>
      </c>
    </row>
    <row r="641" spans="1:10" x14ac:dyDescent="0.25">
      <c r="A641" t="s">
        <v>671</v>
      </c>
      <c r="B641" s="1">
        <v>43309</v>
      </c>
      <c r="C641" t="s">
        <v>34</v>
      </c>
      <c r="D641" t="s">
        <v>24</v>
      </c>
      <c r="E641">
        <v>18</v>
      </c>
      <c r="F641">
        <v>150</v>
      </c>
      <c r="G641">
        <v>2700</v>
      </c>
      <c r="H641">
        <v>0.06</v>
      </c>
      <c r="I641">
        <v>162</v>
      </c>
      <c r="J641" t="s">
        <v>39</v>
      </c>
    </row>
    <row r="642" spans="1:10" x14ac:dyDescent="0.25">
      <c r="A642" t="s">
        <v>672</v>
      </c>
      <c r="B642" s="1">
        <v>43309</v>
      </c>
      <c r="C642" t="s">
        <v>19</v>
      </c>
      <c r="D642" t="s">
        <v>12</v>
      </c>
      <c r="E642">
        <v>3</v>
      </c>
      <c r="F642">
        <v>230</v>
      </c>
      <c r="G642">
        <v>690</v>
      </c>
      <c r="H642">
        <v>0.11</v>
      </c>
      <c r="I642">
        <v>75.900000000000006</v>
      </c>
      <c r="J642" t="s">
        <v>32</v>
      </c>
    </row>
    <row r="643" spans="1:10" x14ac:dyDescent="0.25">
      <c r="A643" t="s">
        <v>673</v>
      </c>
      <c r="B643" s="1">
        <v>43309</v>
      </c>
      <c r="C643" t="s">
        <v>34</v>
      </c>
      <c r="D643" t="s">
        <v>31</v>
      </c>
      <c r="E643">
        <v>11</v>
      </c>
      <c r="F643">
        <v>150</v>
      </c>
      <c r="G643">
        <v>1650</v>
      </c>
      <c r="H643">
        <v>0.09</v>
      </c>
      <c r="I643">
        <v>148.5</v>
      </c>
      <c r="J643" t="s">
        <v>35</v>
      </c>
    </row>
    <row r="644" spans="1:10" x14ac:dyDescent="0.25">
      <c r="A644" t="s">
        <v>674</v>
      </c>
      <c r="B644" s="1">
        <v>43309</v>
      </c>
      <c r="C644" t="s">
        <v>19</v>
      </c>
      <c r="D644" t="s">
        <v>12</v>
      </c>
      <c r="E644">
        <v>11</v>
      </c>
      <c r="F644">
        <v>230</v>
      </c>
      <c r="G644">
        <v>2530</v>
      </c>
      <c r="H644">
        <v>0.02</v>
      </c>
      <c r="I644">
        <v>50.6</v>
      </c>
      <c r="J644" t="s">
        <v>37</v>
      </c>
    </row>
    <row r="645" spans="1:10" x14ac:dyDescent="0.25">
      <c r="A645" t="s">
        <v>675</v>
      </c>
      <c r="B645" s="1">
        <v>43309</v>
      </c>
      <c r="C645" t="s">
        <v>19</v>
      </c>
      <c r="D645" t="s">
        <v>31</v>
      </c>
      <c r="E645">
        <v>13</v>
      </c>
      <c r="F645">
        <v>230</v>
      </c>
      <c r="G645">
        <v>2990</v>
      </c>
      <c r="H645">
        <v>0.06</v>
      </c>
      <c r="I645">
        <v>179.4</v>
      </c>
      <c r="J645" t="s">
        <v>39</v>
      </c>
    </row>
    <row r="646" spans="1:10" x14ac:dyDescent="0.25">
      <c r="A646" t="s">
        <v>676</v>
      </c>
      <c r="B646" s="1">
        <v>43310</v>
      </c>
      <c r="C646" t="s">
        <v>11</v>
      </c>
      <c r="D646" t="s">
        <v>27</v>
      </c>
      <c r="E646">
        <v>11</v>
      </c>
      <c r="F646">
        <v>80</v>
      </c>
      <c r="G646">
        <v>880</v>
      </c>
      <c r="H646">
        <v>0.01</v>
      </c>
      <c r="I646">
        <v>8.8000000000000007</v>
      </c>
      <c r="J646" t="s">
        <v>32</v>
      </c>
    </row>
    <row r="647" spans="1:10" x14ac:dyDescent="0.25">
      <c r="A647" t="s">
        <v>677</v>
      </c>
      <c r="B647" s="1">
        <v>43310</v>
      </c>
      <c r="C647" t="s">
        <v>11</v>
      </c>
      <c r="D647" t="s">
        <v>31</v>
      </c>
      <c r="E647">
        <v>17</v>
      </c>
      <c r="F647">
        <v>80</v>
      </c>
      <c r="G647">
        <v>1360</v>
      </c>
      <c r="H647">
        <v>7.0000000000000007E-2</v>
      </c>
      <c r="I647">
        <v>95.2</v>
      </c>
      <c r="J647" t="s">
        <v>35</v>
      </c>
    </row>
    <row r="648" spans="1:10" x14ac:dyDescent="0.25">
      <c r="A648" t="s">
        <v>678</v>
      </c>
      <c r="B648" s="1">
        <v>43310</v>
      </c>
      <c r="C648" t="s">
        <v>34</v>
      </c>
      <c r="D648" t="s">
        <v>31</v>
      </c>
      <c r="E648">
        <v>15</v>
      </c>
      <c r="F648">
        <v>150</v>
      </c>
      <c r="G648">
        <v>2250</v>
      </c>
      <c r="H648">
        <v>7.0000000000000007E-2</v>
      </c>
      <c r="I648">
        <v>157.50000000000003</v>
      </c>
      <c r="J648" t="s">
        <v>37</v>
      </c>
    </row>
    <row r="649" spans="1:10" x14ac:dyDescent="0.25">
      <c r="A649" t="s">
        <v>679</v>
      </c>
      <c r="B649" s="1">
        <v>43310</v>
      </c>
      <c r="C649" t="s">
        <v>30</v>
      </c>
      <c r="D649" t="s">
        <v>31</v>
      </c>
      <c r="E649">
        <v>14</v>
      </c>
      <c r="F649">
        <v>16</v>
      </c>
      <c r="G649">
        <v>224</v>
      </c>
      <c r="H649">
        <v>0.06</v>
      </c>
      <c r="I649">
        <v>13.44</v>
      </c>
      <c r="J649" t="s">
        <v>39</v>
      </c>
    </row>
    <row r="650" spans="1:10" x14ac:dyDescent="0.25">
      <c r="A650" t="s">
        <v>680</v>
      </c>
      <c r="B650" s="1">
        <v>43310</v>
      </c>
      <c r="C650" t="s">
        <v>30</v>
      </c>
      <c r="D650" t="s">
        <v>16</v>
      </c>
      <c r="E650">
        <v>4</v>
      </c>
      <c r="F650">
        <v>16</v>
      </c>
      <c r="G650">
        <v>64</v>
      </c>
      <c r="H650">
        <v>7.0000000000000007E-2</v>
      </c>
      <c r="I650">
        <v>4.4800000000000004</v>
      </c>
      <c r="J650" t="s">
        <v>32</v>
      </c>
    </row>
    <row r="651" spans="1:10" x14ac:dyDescent="0.25">
      <c r="A651" t="s">
        <v>681</v>
      </c>
      <c r="B651" s="1">
        <v>43310</v>
      </c>
      <c r="C651" t="s">
        <v>34</v>
      </c>
      <c r="D651" t="s">
        <v>31</v>
      </c>
      <c r="E651">
        <v>23</v>
      </c>
      <c r="F651">
        <v>150</v>
      </c>
      <c r="G651">
        <v>3450</v>
      </c>
      <c r="H651">
        <v>0.08</v>
      </c>
      <c r="I651">
        <v>276</v>
      </c>
      <c r="J651" t="s">
        <v>35</v>
      </c>
    </row>
    <row r="652" spans="1:10" x14ac:dyDescent="0.25">
      <c r="A652" t="s">
        <v>682</v>
      </c>
      <c r="B652" s="1">
        <v>43310</v>
      </c>
      <c r="C652" t="s">
        <v>11</v>
      </c>
      <c r="D652" t="s">
        <v>24</v>
      </c>
      <c r="E652">
        <v>10</v>
      </c>
      <c r="F652">
        <v>80</v>
      </c>
      <c r="G652">
        <v>800</v>
      </c>
      <c r="H652">
        <v>0.11</v>
      </c>
      <c r="I652">
        <v>88</v>
      </c>
      <c r="J652" t="s">
        <v>37</v>
      </c>
    </row>
    <row r="653" spans="1:10" x14ac:dyDescent="0.25">
      <c r="A653" t="s">
        <v>683</v>
      </c>
      <c r="B653" s="1">
        <v>43310</v>
      </c>
      <c r="C653" t="s">
        <v>19</v>
      </c>
      <c r="D653" t="s">
        <v>24</v>
      </c>
      <c r="E653">
        <v>7</v>
      </c>
      <c r="F653">
        <v>230</v>
      </c>
      <c r="G653">
        <v>1610</v>
      </c>
      <c r="H653">
        <v>0.01</v>
      </c>
      <c r="I653">
        <v>16.100000000000001</v>
      </c>
      <c r="J653" t="s">
        <v>39</v>
      </c>
    </row>
    <row r="654" spans="1:10" x14ac:dyDescent="0.25">
      <c r="A654" t="s">
        <v>684</v>
      </c>
      <c r="B654" s="1">
        <v>43310</v>
      </c>
      <c r="C654" t="s">
        <v>19</v>
      </c>
      <c r="D654" t="s">
        <v>12</v>
      </c>
      <c r="E654">
        <v>16</v>
      </c>
      <c r="F654">
        <v>230</v>
      </c>
      <c r="G654">
        <v>3680</v>
      </c>
      <c r="H654">
        <v>7.0000000000000007E-2</v>
      </c>
      <c r="I654">
        <v>257.60000000000002</v>
      </c>
      <c r="J654" t="s">
        <v>32</v>
      </c>
    </row>
    <row r="655" spans="1:10" x14ac:dyDescent="0.25">
      <c r="A655" t="s">
        <v>685</v>
      </c>
      <c r="B655" s="1">
        <v>43310</v>
      </c>
      <c r="C655" t="s">
        <v>30</v>
      </c>
      <c r="D655" t="s">
        <v>31</v>
      </c>
      <c r="E655">
        <v>17</v>
      </c>
      <c r="F655">
        <v>16</v>
      </c>
      <c r="G655">
        <v>272</v>
      </c>
      <c r="H655">
        <v>0.08</v>
      </c>
      <c r="I655">
        <v>21.76</v>
      </c>
      <c r="J655" t="s">
        <v>35</v>
      </c>
    </row>
    <row r="656" spans="1:10" x14ac:dyDescent="0.25">
      <c r="A656" t="s">
        <v>686</v>
      </c>
      <c r="B656" s="1">
        <v>43311</v>
      </c>
      <c r="C656" t="s">
        <v>11</v>
      </c>
      <c r="D656" t="s">
        <v>31</v>
      </c>
      <c r="E656">
        <v>6</v>
      </c>
      <c r="F656">
        <v>80</v>
      </c>
      <c r="G656">
        <v>480</v>
      </c>
      <c r="H656">
        <v>0.09</v>
      </c>
      <c r="I656">
        <v>43.199999999999996</v>
      </c>
      <c r="J656" t="s">
        <v>37</v>
      </c>
    </row>
    <row r="657" spans="1:10" x14ac:dyDescent="0.25">
      <c r="A657" t="s">
        <v>687</v>
      </c>
      <c r="B657" s="1">
        <v>43311</v>
      </c>
      <c r="C657" t="s">
        <v>34</v>
      </c>
      <c r="D657" t="s">
        <v>24</v>
      </c>
      <c r="E657">
        <v>22</v>
      </c>
      <c r="F657">
        <v>150</v>
      </c>
      <c r="G657">
        <v>3300</v>
      </c>
      <c r="H657">
        <v>0.04</v>
      </c>
      <c r="I657">
        <v>132</v>
      </c>
      <c r="J657" t="s">
        <v>39</v>
      </c>
    </row>
    <row r="658" spans="1:10" x14ac:dyDescent="0.25">
      <c r="A658" t="s">
        <v>688</v>
      </c>
      <c r="B658" s="1">
        <v>43311</v>
      </c>
      <c r="C658" t="s">
        <v>15</v>
      </c>
      <c r="D658" t="s">
        <v>31</v>
      </c>
      <c r="E658">
        <v>20</v>
      </c>
      <c r="F658">
        <v>40</v>
      </c>
      <c r="G658">
        <v>800</v>
      </c>
      <c r="H658">
        <v>0.03</v>
      </c>
      <c r="I658">
        <v>24</v>
      </c>
      <c r="J658" t="s">
        <v>32</v>
      </c>
    </row>
    <row r="659" spans="1:10" x14ac:dyDescent="0.25">
      <c r="A659" t="s">
        <v>689</v>
      </c>
      <c r="B659" s="1">
        <v>43311</v>
      </c>
      <c r="C659" t="s">
        <v>34</v>
      </c>
      <c r="D659" t="s">
        <v>16</v>
      </c>
      <c r="E659">
        <v>16</v>
      </c>
      <c r="F659">
        <v>150</v>
      </c>
      <c r="G659">
        <v>2400</v>
      </c>
      <c r="H659">
        <v>0.08</v>
      </c>
      <c r="I659">
        <v>192</v>
      </c>
      <c r="J659" t="s">
        <v>35</v>
      </c>
    </row>
    <row r="660" spans="1:10" x14ac:dyDescent="0.25">
      <c r="A660" t="s">
        <v>690</v>
      </c>
      <c r="B660" s="1">
        <v>43311</v>
      </c>
      <c r="C660" t="s">
        <v>11</v>
      </c>
      <c r="D660" t="s">
        <v>16</v>
      </c>
      <c r="E660">
        <v>5</v>
      </c>
      <c r="F660">
        <v>80</v>
      </c>
      <c r="G660">
        <v>400</v>
      </c>
      <c r="H660">
        <v>7.0000000000000007E-2</v>
      </c>
      <c r="I660">
        <v>28.000000000000004</v>
      </c>
      <c r="J660" t="s">
        <v>37</v>
      </c>
    </row>
    <row r="661" spans="1:10" x14ac:dyDescent="0.25">
      <c r="A661" t="s">
        <v>691</v>
      </c>
      <c r="B661" s="1">
        <v>43311</v>
      </c>
      <c r="C661" t="s">
        <v>34</v>
      </c>
      <c r="D661" t="s">
        <v>27</v>
      </c>
      <c r="E661">
        <v>6</v>
      </c>
      <c r="F661">
        <v>150</v>
      </c>
      <c r="G661">
        <v>900</v>
      </c>
      <c r="H661">
        <v>0.03</v>
      </c>
      <c r="I661">
        <v>27</v>
      </c>
      <c r="J661" t="s">
        <v>39</v>
      </c>
    </row>
    <row r="662" spans="1:10" x14ac:dyDescent="0.25">
      <c r="A662" t="s">
        <v>692</v>
      </c>
      <c r="B662" s="1">
        <v>43312</v>
      </c>
      <c r="C662" t="s">
        <v>11</v>
      </c>
      <c r="D662" t="s">
        <v>16</v>
      </c>
      <c r="E662">
        <v>9</v>
      </c>
      <c r="F662">
        <v>80</v>
      </c>
      <c r="G662">
        <v>720</v>
      </c>
      <c r="H662">
        <v>0.03</v>
      </c>
      <c r="I662">
        <v>21.599999999999998</v>
      </c>
      <c r="J662" t="s">
        <v>32</v>
      </c>
    </row>
    <row r="663" spans="1:10" x14ac:dyDescent="0.25">
      <c r="A663" t="s">
        <v>693</v>
      </c>
      <c r="B663" s="1">
        <v>43312</v>
      </c>
      <c r="C663" t="s">
        <v>11</v>
      </c>
      <c r="D663" t="s">
        <v>12</v>
      </c>
      <c r="E663">
        <v>8</v>
      </c>
      <c r="F663">
        <v>80</v>
      </c>
      <c r="G663">
        <v>640</v>
      </c>
      <c r="H663">
        <v>0.08</v>
      </c>
      <c r="I663">
        <v>51.2</v>
      </c>
      <c r="J663" t="s">
        <v>35</v>
      </c>
    </row>
    <row r="664" spans="1:10" x14ac:dyDescent="0.25">
      <c r="A664" t="s">
        <v>694</v>
      </c>
      <c r="B664" s="1">
        <v>43312</v>
      </c>
      <c r="C664" t="s">
        <v>19</v>
      </c>
      <c r="D664" t="s">
        <v>27</v>
      </c>
      <c r="E664">
        <v>8</v>
      </c>
      <c r="F664">
        <v>230</v>
      </c>
      <c r="G664">
        <v>1840</v>
      </c>
      <c r="H664">
        <v>0.01</v>
      </c>
      <c r="I664">
        <v>18.400000000000002</v>
      </c>
      <c r="J664" t="s">
        <v>37</v>
      </c>
    </row>
    <row r="665" spans="1:10" x14ac:dyDescent="0.25">
      <c r="A665" t="s">
        <v>695</v>
      </c>
      <c r="B665" s="1">
        <v>43312</v>
      </c>
      <c r="C665" t="s">
        <v>30</v>
      </c>
      <c r="D665" t="s">
        <v>31</v>
      </c>
      <c r="E665">
        <v>12</v>
      </c>
      <c r="F665">
        <v>16</v>
      </c>
      <c r="G665">
        <v>192</v>
      </c>
      <c r="H665">
        <v>0.04</v>
      </c>
      <c r="I665">
        <v>7.68</v>
      </c>
      <c r="J665" t="s">
        <v>39</v>
      </c>
    </row>
    <row r="666" spans="1:10" x14ac:dyDescent="0.25">
      <c r="A666" t="s">
        <v>696</v>
      </c>
      <c r="B666" s="1">
        <v>43312</v>
      </c>
      <c r="C666" t="s">
        <v>30</v>
      </c>
      <c r="D666" t="s">
        <v>27</v>
      </c>
      <c r="E666">
        <v>18</v>
      </c>
      <c r="F666">
        <v>16</v>
      </c>
      <c r="G666">
        <v>288</v>
      </c>
      <c r="H666">
        <v>0.04</v>
      </c>
      <c r="I666">
        <v>11.52</v>
      </c>
      <c r="J666" t="s">
        <v>32</v>
      </c>
    </row>
    <row r="667" spans="1:10" x14ac:dyDescent="0.25">
      <c r="A667" t="s">
        <v>697</v>
      </c>
      <c r="B667" s="1">
        <v>43282</v>
      </c>
      <c r="C667" t="s">
        <v>30</v>
      </c>
      <c r="D667" t="s">
        <v>27</v>
      </c>
      <c r="E667">
        <v>10</v>
      </c>
      <c r="F667">
        <v>16</v>
      </c>
      <c r="G667">
        <v>160</v>
      </c>
      <c r="H667">
        <v>0.01</v>
      </c>
      <c r="I667">
        <v>1.6</v>
      </c>
      <c r="J667" t="s">
        <v>35</v>
      </c>
    </row>
    <row r="668" spans="1:10" x14ac:dyDescent="0.25">
      <c r="A668" t="s">
        <v>698</v>
      </c>
      <c r="B668" s="1">
        <v>43282</v>
      </c>
      <c r="C668" t="s">
        <v>30</v>
      </c>
      <c r="D668" t="s">
        <v>27</v>
      </c>
      <c r="E668">
        <v>14</v>
      </c>
      <c r="F668">
        <v>16</v>
      </c>
      <c r="G668">
        <v>224</v>
      </c>
      <c r="H668">
        <v>0.12</v>
      </c>
      <c r="I668">
        <v>26.88</v>
      </c>
      <c r="J668" t="s">
        <v>37</v>
      </c>
    </row>
    <row r="669" spans="1:10" x14ac:dyDescent="0.25">
      <c r="A669" t="s">
        <v>699</v>
      </c>
      <c r="B669" s="1">
        <v>43282</v>
      </c>
      <c r="C669" t="s">
        <v>15</v>
      </c>
      <c r="D669" t="s">
        <v>24</v>
      </c>
      <c r="E669">
        <v>6</v>
      </c>
      <c r="F669">
        <v>40</v>
      </c>
      <c r="G669">
        <v>240</v>
      </c>
      <c r="H669">
        <v>0.06</v>
      </c>
      <c r="I669">
        <v>14.399999999999999</v>
      </c>
      <c r="J669" t="s">
        <v>39</v>
      </c>
    </row>
    <row r="670" spans="1:10" x14ac:dyDescent="0.25">
      <c r="A670" t="s">
        <v>700</v>
      </c>
      <c r="B670" s="1">
        <v>43282</v>
      </c>
      <c r="C670" t="s">
        <v>15</v>
      </c>
      <c r="D670" t="s">
        <v>27</v>
      </c>
      <c r="E670">
        <v>13</v>
      </c>
      <c r="F670">
        <v>40</v>
      </c>
      <c r="G670">
        <v>520</v>
      </c>
      <c r="H670">
        <v>0.09</v>
      </c>
      <c r="I670">
        <v>46.8</v>
      </c>
      <c r="J670" t="s">
        <v>32</v>
      </c>
    </row>
    <row r="671" spans="1:10" x14ac:dyDescent="0.25">
      <c r="A671" t="s">
        <v>701</v>
      </c>
      <c r="B671" s="1">
        <v>43282</v>
      </c>
      <c r="C671" t="s">
        <v>30</v>
      </c>
      <c r="D671" t="s">
        <v>27</v>
      </c>
      <c r="E671">
        <v>10</v>
      </c>
      <c r="F671">
        <v>16</v>
      </c>
      <c r="G671">
        <v>160</v>
      </c>
      <c r="H671">
        <v>0.04</v>
      </c>
      <c r="I671">
        <v>6.4</v>
      </c>
      <c r="J671" t="s">
        <v>35</v>
      </c>
    </row>
    <row r="672" spans="1:10" x14ac:dyDescent="0.25">
      <c r="A672" t="s">
        <v>702</v>
      </c>
      <c r="B672" s="1">
        <v>43282</v>
      </c>
      <c r="C672" t="s">
        <v>11</v>
      </c>
      <c r="D672" t="s">
        <v>16</v>
      </c>
      <c r="E672">
        <v>14</v>
      </c>
      <c r="F672">
        <v>80</v>
      </c>
      <c r="G672">
        <v>1120</v>
      </c>
      <c r="H672">
        <v>0.11</v>
      </c>
      <c r="I672">
        <v>123.2</v>
      </c>
      <c r="J672" t="s">
        <v>37</v>
      </c>
    </row>
    <row r="673" spans="1:10" x14ac:dyDescent="0.25">
      <c r="A673" t="s">
        <v>703</v>
      </c>
      <c r="B673" s="1">
        <v>43282</v>
      </c>
      <c r="C673" t="s">
        <v>15</v>
      </c>
      <c r="D673" t="s">
        <v>16</v>
      </c>
      <c r="E673">
        <v>4</v>
      </c>
      <c r="F673">
        <v>40</v>
      </c>
      <c r="G673">
        <v>160</v>
      </c>
      <c r="H673">
        <v>0.06</v>
      </c>
      <c r="I673">
        <v>9.6</v>
      </c>
      <c r="J673" t="s">
        <v>39</v>
      </c>
    </row>
    <row r="674" spans="1:10" x14ac:dyDescent="0.25">
      <c r="A674" t="s">
        <v>704</v>
      </c>
      <c r="B674" s="1">
        <v>43282</v>
      </c>
      <c r="C674" t="s">
        <v>15</v>
      </c>
      <c r="D674" t="s">
        <v>24</v>
      </c>
      <c r="E674">
        <v>11</v>
      </c>
      <c r="F674">
        <v>40</v>
      </c>
      <c r="G674">
        <v>440</v>
      </c>
      <c r="H674">
        <v>0.05</v>
      </c>
      <c r="I674">
        <v>22</v>
      </c>
      <c r="J674" t="s">
        <v>32</v>
      </c>
    </row>
    <row r="675" spans="1:10" x14ac:dyDescent="0.25">
      <c r="A675" t="s">
        <v>705</v>
      </c>
      <c r="B675" s="1">
        <v>43282</v>
      </c>
      <c r="C675" t="s">
        <v>30</v>
      </c>
      <c r="D675" t="s">
        <v>24</v>
      </c>
      <c r="E675">
        <v>14</v>
      </c>
      <c r="F675">
        <v>16</v>
      </c>
      <c r="G675">
        <v>224</v>
      </c>
      <c r="H675">
        <v>0.01</v>
      </c>
      <c r="I675">
        <v>2.2400000000000002</v>
      </c>
      <c r="J675" t="s">
        <v>35</v>
      </c>
    </row>
    <row r="676" spans="1:10" x14ac:dyDescent="0.25">
      <c r="A676" t="s">
        <v>706</v>
      </c>
      <c r="B676" s="1">
        <v>43282</v>
      </c>
      <c r="C676" t="s">
        <v>34</v>
      </c>
      <c r="D676" t="s">
        <v>12</v>
      </c>
      <c r="E676">
        <v>20</v>
      </c>
      <c r="F676">
        <v>150</v>
      </c>
      <c r="G676">
        <v>3000</v>
      </c>
      <c r="H676">
        <v>0.04</v>
      </c>
      <c r="I676">
        <v>120</v>
      </c>
      <c r="J676" t="s">
        <v>37</v>
      </c>
    </row>
    <row r="677" spans="1:10" x14ac:dyDescent="0.25">
      <c r="A677" t="s">
        <v>707</v>
      </c>
      <c r="B677" s="1">
        <v>43282</v>
      </c>
      <c r="C677" t="s">
        <v>15</v>
      </c>
      <c r="D677" t="s">
        <v>27</v>
      </c>
      <c r="E677">
        <v>9</v>
      </c>
      <c r="F677">
        <v>40</v>
      </c>
      <c r="G677">
        <v>360</v>
      </c>
      <c r="H677">
        <v>0.06</v>
      </c>
      <c r="I677">
        <v>21.599999999999998</v>
      </c>
      <c r="J677" t="s">
        <v>39</v>
      </c>
    </row>
    <row r="678" spans="1:10" x14ac:dyDescent="0.25">
      <c r="A678" t="s">
        <v>708</v>
      </c>
      <c r="B678" s="1">
        <v>43282</v>
      </c>
      <c r="C678" t="s">
        <v>34</v>
      </c>
      <c r="D678" t="s">
        <v>24</v>
      </c>
      <c r="E678">
        <v>18</v>
      </c>
      <c r="F678">
        <v>150</v>
      </c>
      <c r="G678">
        <v>2700</v>
      </c>
      <c r="H678">
        <v>0.06</v>
      </c>
      <c r="I678">
        <v>162</v>
      </c>
      <c r="J678" t="s">
        <v>32</v>
      </c>
    </row>
    <row r="679" spans="1:10" x14ac:dyDescent="0.25">
      <c r="A679" t="s">
        <v>709</v>
      </c>
      <c r="B679" s="1">
        <v>43282</v>
      </c>
      <c r="C679" t="s">
        <v>19</v>
      </c>
      <c r="D679" t="s">
        <v>31</v>
      </c>
      <c r="E679">
        <v>17</v>
      </c>
      <c r="F679">
        <v>230</v>
      </c>
      <c r="G679">
        <v>3910</v>
      </c>
      <c r="H679">
        <v>0.11</v>
      </c>
      <c r="I679">
        <v>430.1</v>
      </c>
      <c r="J679" t="s">
        <v>35</v>
      </c>
    </row>
    <row r="680" spans="1:10" x14ac:dyDescent="0.25">
      <c r="A680" t="s">
        <v>710</v>
      </c>
      <c r="B680" s="1">
        <v>43283</v>
      </c>
      <c r="C680" t="s">
        <v>15</v>
      </c>
      <c r="D680" t="s">
        <v>12</v>
      </c>
      <c r="E680">
        <v>20</v>
      </c>
      <c r="F680">
        <v>40</v>
      </c>
      <c r="G680">
        <v>800</v>
      </c>
      <c r="H680">
        <v>0.04</v>
      </c>
      <c r="I680">
        <v>32</v>
      </c>
      <c r="J680" t="s">
        <v>37</v>
      </c>
    </row>
    <row r="681" spans="1:10" x14ac:dyDescent="0.25">
      <c r="A681" t="s">
        <v>711</v>
      </c>
      <c r="B681" s="1">
        <v>43283</v>
      </c>
      <c r="C681" t="s">
        <v>15</v>
      </c>
      <c r="D681" t="s">
        <v>12</v>
      </c>
      <c r="E681">
        <v>23</v>
      </c>
      <c r="F681">
        <v>40</v>
      </c>
      <c r="G681">
        <v>920</v>
      </c>
      <c r="H681">
        <v>0.03</v>
      </c>
      <c r="I681">
        <v>27.599999999999998</v>
      </c>
      <c r="J681" t="s">
        <v>39</v>
      </c>
    </row>
    <row r="682" spans="1:10" x14ac:dyDescent="0.25">
      <c r="A682" t="s">
        <v>712</v>
      </c>
      <c r="B682" s="1">
        <v>43283</v>
      </c>
      <c r="C682" t="s">
        <v>19</v>
      </c>
      <c r="D682" t="s">
        <v>31</v>
      </c>
      <c r="E682">
        <v>21</v>
      </c>
      <c r="F682">
        <v>230</v>
      </c>
      <c r="G682">
        <v>4830</v>
      </c>
      <c r="H682">
        <v>0.05</v>
      </c>
      <c r="I682">
        <v>241.5</v>
      </c>
      <c r="J682" t="s">
        <v>32</v>
      </c>
    </row>
    <row r="683" spans="1:10" x14ac:dyDescent="0.25">
      <c r="A683" t="s">
        <v>713</v>
      </c>
      <c r="B683" s="1">
        <v>43283</v>
      </c>
      <c r="C683" t="s">
        <v>11</v>
      </c>
      <c r="D683" t="s">
        <v>24</v>
      </c>
      <c r="E683">
        <v>6</v>
      </c>
      <c r="F683">
        <v>80</v>
      </c>
      <c r="G683">
        <v>480</v>
      </c>
      <c r="H683">
        <v>0.09</v>
      </c>
      <c r="I683">
        <v>43.199999999999996</v>
      </c>
      <c r="J683" t="s">
        <v>35</v>
      </c>
    </row>
    <row r="684" spans="1:10" x14ac:dyDescent="0.25">
      <c r="A684" t="s">
        <v>714</v>
      </c>
      <c r="B684" s="1">
        <v>43283</v>
      </c>
      <c r="C684" t="s">
        <v>30</v>
      </c>
      <c r="D684" t="s">
        <v>12</v>
      </c>
      <c r="E684">
        <v>20</v>
      </c>
      <c r="F684">
        <v>16</v>
      </c>
      <c r="G684">
        <v>320</v>
      </c>
      <c r="H684">
        <v>0.01</v>
      </c>
      <c r="I684">
        <v>3.2</v>
      </c>
      <c r="J684" t="s">
        <v>37</v>
      </c>
    </row>
    <row r="685" spans="1:10" x14ac:dyDescent="0.25">
      <c r="A685" t="s">
        <v>715</v>
      </c>
      <c r="B685" s="1">
        <v>43283</v>
      </c>
      <c r="C685" t="s">
        <v>15</v>
      </c>
      <c r="D685" t="s">
        <v>16</v>
      </c>
      <c r="E685">
        <v>8</v>
      </c>
      <c r="F685">
        <v>40</v>
      </c>
      <c r="G685">
        <v>320</v>
      </c>
      <c r="H685">
        <v>0.09</v>
      </c>
      <c r="I685">
        <v>28.799999999999997</v>
      </c>
      <c r="J685" t="s">
        <v>39</v>
      </c>
    </row>
    <row r="686" spans="1:10" x14ac:dyDescent="0.25">
      <c r="A686" t="s">
        <v>716</v>
      </c>
      <c r="B686" s="1">
        <v>43283</v>
      </c>
      <c r="C686" t="s">
        <v>19</v>
      </c>
      <c r="D686" t="s">
        <v>16</v>
      </c>
      <c r="E686">
        <v>15</v>
      </c>
      <c r="F686">
        <v>230</v>
      </c>
      <c r="G686">
        <v>3450</v>
      </c>
      <c r="H686">
        <v>0.09</v>
      </c>
      <c r="I686">
        <v>310.5</v>
      </c>
      <c r="J686" t="s">
        <v>32</v>
      </c>
    </row>
    <row r="687" spans="1:10" x14ac:dyDescent="0.25">
      <c r="A687" t="s">
        <v>717</v>
      </c>
      <c r="B687" s="1">
        <v>43284</v>
      </c>
      <c r="C687" t="s">
        <v>11</v>
      </c>
      <c r="D687" t="s">
        <v>27</v>
      </c>
      <c r="E687">
        <v>21</v>
      </c>
      <c r="F687">
        <v>80</v>
      </c>
      <c r="G687">
        <v>1680</v>
      </c>
      <c r="H687">
        <v>0.02</v>
      </c>
      <c r="I687">
        <v>33.6</v>
      </c>
      <c r="J687" t="s">
        <v>35</v>
      </c>
    </row>
    <row r="688" spans="1:10" x14ac:dyDescent="0.25">
      <c r="A688" t="s">
        <v>718</v>
      </c>
      <c r="B688" s="1">
        <v>43284</v>
      </c>
      <c r="C688" t="s">
        <v>11</v>
      </c>
      <c r="D688" t="s">
        <v>27</v>
      </c>
      <c r="E688">
        <v>19</v>
      </c>
      <c r="F688">
        <v>80</v>
      </c>
      <c r="G688">
        <v>1520</v>
      </c>
      <c r="H688">
        <v>0.02</v>
      </c>
      <c r="I688">
        <v>30.400000000000002</v>
      </c>
      <c r="J688" t="s">
        <v>37</v>
      </c>
    </row>
    <row r="689" spans="1:10" x14ac:dyDescent="0.25">
      <c r="A689" t="s">
        <v>719</v>
      </c>
      <c r="B689" s="1">
        <v>43284</v>
      </c>
      <c r="C689" t="s">
        <v>30</v>
      </c>
      <c r="D689" t="s">
        <v>12</v>
      </c>
      <c r="E689">
        <v>7</v>
      </c>
      <c r="F689">
        <v>16</v>
      </c>
      <c r="G689">
        <v>112</v>
      </c>
      <c r="H689">
        <v>0.08</v>
      </c>
      <c r="I689">
        <v>8.9600000000000009</v>
      </c>
      <c r="J689" t="s">
        <v>39</v>
      </c>
    </row>
    <row r="690" spans="1:10" x14ac:dyDescent="0.25">
      <c r="A690" t="s">
        <v>720</v>
      </c>
      <c r="B690" s="1">
        <v>43284</v>
      </c>
      <c r="C690" t="s">
        <v>15</v>
      </c>
      <c r="D690" t="s">
        <v>31</v>
      </c>
      <c r="E690">
        <v>11</v>
      </c>
      <c r="F690">
        <v>40</v>
      </c>
      <c r="G690">
        <v>440</v>
      </c>
      <c r="H690">
        <v>0.05</v>
      </c>
      <c r="I690">
        <v>22</v>
      </c>
      <c r="J690" t="s">
        <v>32</v>
      </c>
    </row>
    <row r="691" spans="1:10" x14ac:dyDescent="0.25">
      <c r="A691" t="s">
        <v>721</v>
      </c>
      <c r="B691" s="1">
        <v>43284</v>
      </c>
      <c r="C691" t="s">
        <v>19</v>
      </c>
      <c r="D691" t="s">
        <v>27</v>
      </c>
      <c r="E691">
        <v>8</v>
      </c>
      <c r="F691">
        <v>230</v>
      </c>
      <c r="G691">
        <v>1840</v>
      </c>
      <c r="H691">
        <v>0.05</v>
      </c>
      <c r="I691">
        <v>92</v>
      </c>
      <c r="J691" t="s">
        <v>35</v>
      </c>
    </row>
    <row r="692" spans="1:10" x14ac:dyDescent="0.25">
      <c r="A692" t="s">
        <v>722</v>
      </c>
      <c r="B692" s="1">
        <v>43284</v>
      </c>
      <c r="C692" t="s">
        <v>11</v>
      </c>
      <c r="D692" t="s">
        <v>12</v>
      </c>
      <c r="E692">
        <v>18</v>
      </c>
      <c r="F692">
        <v>80</v>
      </c>
      <c r="G692">
        <v>1440</v>
      </c>
      <c r="H692">
        <v>0.02</v>
      </c>
      <c r="I692">
        <v>28.8</v>
      </c>
      <c r="J692" t="s">
        <v>37</v>
      </c>
    </row>
    <row r="693" spans="1:10" x14ac:dyDescent="0.25">
      <c r="A693" t="s">
        <v>723</v>
      </c>
      <c r="B693" s="1">
        <v>43284</v>
      </c>
      <c r="C693" t="s">
        <v>15</v>
      </c>
      <c r="D693" t="s">
        <v>12</v>
      </c>
      <c r="E693">
        <v>7</v>
      </c>
      <c r="F693">
        <v>40</v>
      </c>
      <c r="G693">
        <v>280</v>
      </c>
      <c r="H693">
        <v>0.1</v>
      </c>
      <c r="I693">
        <v>28</v>
      </c>
      <c r="J693" t="s">
        <v>39</v>
      </c>
    </row>
    <row r="694" spans="1:10" x14ac:dyDescent="0.25">
      <c r="A694" t="s">
        <v>724</v>
      </c>
      <c r="B694" s="1">
        <v>43285</v>
      </c>
      <c r="C694" t="s">
        <v>30</v>
      </c>
      <c r="D694" t="s">
        <v>12</v>
      </c>
      <c r="E694">
        <v>16</v>
      </c>
      <c r="F694">
        <v>16</v>
      </c>
      <c r="G694">
        <v>256</v>
      </c>
      <c r="H694">
        <v>0.03</v>
      </c>
      <c r="I694">
        <v>7.68</v>
      </c>
      <c r="J694" t="s">
        <v>32</v>
      </c>
    </row>
    <row r="695" spans="1:10" x14ac:dyDescent="0.25">
      <c r="A695" t="s">
        <v>725</v>
      </c>
      <c r="B695" s="1">
        <v>43285</v>
      </c>
      <c r="C695" t="s">
        <v>11</v>
      </c>
      <c r="D695" t="s">
        <v>12</v>
      </c>
      <c r="E695">
        <v>8</v>
      </c>
      <c r="F695">
        <v>80</v>
      </c>
      <c r="G695">
        <v>640</v>
      </c>
      <c r="H695">
        <v>0.08</v>
      </c>
      <c r="I695">
        <v>51.2</v>
      </c>
      <c r="J695" t="s">
        <v>35</v>
      </c>
    </row>
    <row r="696" spans="1:10" x14ac:dyDescent="0.25">
      <c r="A696" t="s">
        <v>726</v>
      </c>
      <c r="B696" s="1">
        <v>43285</v>
      </c>
      <c r="C696" t="s">
        <v>19</v>
      </c>
      <c r="D696" t="s">
        <v>31</v>
      </c>
      <c r="E696">
        <v>22</v>
      </c>
      <c r="F696">
        <v>230</v>
      </c>
      <c r="G696">
        <v>5060</v>
      </c>
      <c r="H696">
        <v>0.1</v>
      </c>
      <c r="I696">
        <v>506</v>
      </c>
      <c r="J696" t="s">
        <v>37</v>
      </c>
    </row>
    <row r="697" spans="1:10" x14ac:dyDescent="0.25">
      <c r="A697" t="s">
        <v>727</v>
      </c>
      <c r="B697" s="1">
        <v>43285</v>
      </c>
      <c r="C697" t="s">
        <v>19</v>
      </c>
      <c r="D697" t="s">
        <v>31</v>
      </c>
      <c r="E697">
        <v>3</v>
      </c>
      <c r="F697">
        <v>230</v>
      </c>
      <c r="G697">
        <v>690</v>
      </c>
      <c r="H697">
        <v>0.1</v>
      </c>
      <c r="I697">
        <v>69</v>
      </c>
      <c r="J697" t="s">
        <v>39</v>
      </c>
    </row>
    <row r="698" spans="1:10" x14ac:dyDescent="0.25">
      <c r="A698" t="s">
        <v>728</v>
      </c>
      <c r="B698" s="1">
        <v>43285</v>
      </c>
      <c r="C698" t="s">
        <v>19</v>
      </c>
      <c r="D698" t="s">
        <v>31</v>
      </c>
      <c r="E698">
        <v>20</v>
      </c>
      <c r="F698">
        <v>230</v>
      </c>
      <c r="G698">
        <v>4600</v>
      </c>
      <c r="H698">
        <v>0.11</v>
      </c>
      <c r="I698">
        <v>506</v>
      </c>
      <c r="J698" t="s">
        <v>32</v>
      </c>
    </row>
    <row r="699" spans="1:10" x14ac:dyDescent="0.25">
      <c r="A699" t="s">
        <v>729</v>
      </c>
      <c r="B699" s="1">
        <v>43285</v>
      </c>
      <c r="C699" t="s">
        <v>30</v>
      </c>
      <c r="D699" t="s">
        <v>24</v>
      </c>
      <c r="E699">
        <v>12</v>
      </c>
      <c r="F699">
        <v>16</v>
      </c>
      <c r="G699">
        <v>192</v>
      </c>
      <c r="H699">
        <v>0.03</v>
      </c>
      <c r="I699">
        <v>5.76</v>
      </c>
      <c r="J699" t="s">
        <v>35</v>
      </c>
    </row>
    <row r="700" spans="1:10" x14ac:dyDescent="0.25">
      <c r="A700" t="s">
        <v>730</v>
      </c>
      <c r="B700" s="1">
        <v>43285</v>
      </c>
      <c r="C700" t="s">
        <v>15</v>
      </c>
      <c r="D700" t="s">
        <v>31</v>
      </c>
      <c r="E700">
        <v>20</v>
      </c>
      <c r="F700">
        <v>40</v>
      </c>
      <c r="G700">
        <v>800</v>
      </c>
      <c r="H700">
        <v>7.0000000000000007E-2</v>
      </c>
      <c r="I700">
        <v>56.000000000000007</v>
      </c>
      <c r="J700" t="s">
        <v>37</v>
      </c>
    </row>
    <row r="701" spans="1:10" x14ac:dyDescent="0.25">
      <c r="A701" t="s">
        <v>731</v>
      </c>
      <c r="B701" s="1">
        <v>43285</v>
      </c>
      <c r="C701" t="s">
        <v>19</v>
      </c>
      <c r="D701" t="s">
        <v>12</v>
      </c>
      <c r="E701">
        <v>3</v>
      </c>
      <c r="F701">
        <v>230</v>
      </c>
      <c r="G701">
        <v>690</v>
      </c>
      <c r="H701">
        <v>0.06</v>
      </c>
      <c r="I701">
        <v>41.4</v>
      </c>
      <c r="J701" t="s">
        <v>39</v>
      </c>
    </row>
    <row r="702" spans="1:10" x14ac:dyDescent="0.25">
      <c r="A702" t="s">
        <v>732</v>
      </c>
      <c r="B702" s="1">
        <v>43285</v>
      </c>
      <c r="C702" t="s">
        <v>11</v>
      </c>
      <c r="D702" t="s">
        <v>27</v>
      </c>
      <c r="E702">
        <v>16</v>
      </c>
      <c r="F702">
        <v>80</v>
      </c>
      <c r="G702">
        <v>1280</v>
      </c>
      <c r="H702">
        <v>7.0000000000000007E-2</v>
      </c>
      <c r="I702">
        <v>89.600000000000009</v>
      </c>
      <c r="J702" t="s">
        <v>32</v>
      </c>
    </row>
    <row r="703" spans="1:10" x14ac:dyDescent="0.25">
      <c r="A703" t="s">
        <v>733</v>
      </c>
      <c r="B703" s="1">
        <v>43286</v>
      </c>
      <c r="C703" t="s">
        <v>15</v>
      </c>
      <c r="D703" t="s">
        <v>31</v>
      </c>
      <c r="E703">
        <v>3</v>
      </c>
      <c r="F703">
        <v>40</v>
      </c>
      <c r="G703">
        <v>120</v>
      </c>
      <c r="H703">
        <v>0.03</v>
      </c>
      <c r="I703">
        <v>3.5999999999999996</v>
      </c>
      <c r="J703" t="s">
        <v>35</v>
      </c>
    </row>
    <row r="704" spans="1:10" x14ac:dyDescent="0.25">
      <c r="A704" t="s">
        <v>734</v>
      </c>
      <c r="B704" s="1">
        <v>43286</v>
      </c>
      <c r="C704" t="s">
        <v>19</v>
      </c>
      <c r="D704" t="s">
        <v>24</v>
      </c>
      <c r="E704">
        <v>12</v>
      </c>
      <c r="F704">
        <v>230</v>
      </c>
      <c r="G704">
        <v>2760</v>
      </c>
      <c r="H704">
        <v>0.03</v>
      </c>
      <c r="I704">
        <v>82.8</v>
      </c>
      <c r="J704" t="s">
        <v>37</v>
      </c>
    </row>
    <row r="705" spans="1:10" x14ac:dyDescent="0.25">
      <c r="A705" t="s">
        <v>735</v>
      </c>
      <c r="B705" s="1">
        <v>43286</v>
      </c>
      <c r="C705" t="s">
        <v>15</v>
      </c>
      <c r="D705" t="s">
        <v>27</v>
      </c>
      <c r="E705">
        <v>22</v>
      </c>
      <c r="F705">
        <v>40</v>
      </c>
      <c r="G705">
        <v>880</v>
      </c>
      <c r="H705">
        <v>0.01</v>
      </c>
      <c r="I705">
        <v>8.8000000000000007</v>
      </c>
      <c r="J705" t="s">
        <v>39</v>
      </c>
    </row>
    <row r="706" spans="1:10" x14ac:dyDescent="0.25">
      <c r="A706" t="s">
        <v>736</v>
      </c>
      <c r="B706" s="1">
        <v>43286</v>
      </c>
      <c r="C706" t="s">
        <v>15</v>
      </c>
      <c r="D706" t="s">
        <v>16</v>
      </c>
      <c r="E706">
        <v>19</v>
      </c>
      <c r="F706">
        <v>40</v>
      </c>
      <c r="G706">
        <v>760</v>
      </c>
      <c r="H706">
        <v>0.1</v>
      </c>
      <c r="I706">
        <v>76</v>
      </c>
      <c r="J706" t="s">
        <v>32</v>
      </c>
    </row>
    <row r="707" spans="1:10" x14ac:dyDescent="0.25">
      <c r="A707" t="s">
        <v>737</v>
      </c>
      <c r="B707" s="1">
        <v>43286</v>
      </c>
      <c r="C707" t="s">
        <v>11</v>
      </c>
      <c r="D707" t="s">
        <v>16</v>
      </c>
      <c r="E707">
        <v>21</v>
      </c>
      <c r="F707">
        <v>80</v>
      </c>
      <c r="G707">
        <v>1680</v>
      </c>
      <c r="H707">
        <v>0.04</v>
      </c>
      <c r="I707">
        <v>67.2</v>
      </c>
      <c r="J707" t="s">
        <v>35</v>
      </c>
    </row>
    <row r="708" spans="1:10" x14ac:dyDescent="0.25">
      <c r="A708" t="s">
        <v>738</v>
      </c>
      <c r="B708" s="1">
        <v>43286</v>
      </c>
      <c r="C708" t="s">
        <v>11</v>
      </c>
      <c r="D708" t="s">
        <v>16</v>
      </c>
      <c r="E708">
        <v>2</v>
      </c>
      <c r="F708">
        <v>80</v>
      </c>
      <c r="G708">
        <v>160</v>
      </c>
      <c r="H708">
        <v>0.04</v>
      </c>
      <c r="I708">
        <v>6.4</v>
      </c>
      <c r="J708" t="s">
        <v>37</v>
      </c>
    </row>
    <row r="709" spans="1:10" x14ac:dyDescent="0.25">
      <c r="A709" t="s">
        <v>739</v>
      </c>
      <c r="B709" s="1">
        <v>43286</v>
      </c>
      <c r="C709" t="s">
        <v>34</v>
      </c>
      <c r="D709" t="s">
        <v>16</v>
      </c>
      <c r="E709">
        <v>15</v>
      </c>
      <c r="F709">
        <v>150</v>
      </c>
      <c r="G709">
        <v>2250</v>
      </c>
      <c r="H709">
        <v>0.02</v>
      </c>
      <c r="I709">
        <v>45</v>
      </c>
      <c r="J709" t="s">
        <v>39</v>
      </c>
    </row>
    <row r="710" spans="1:10" x14ac:dyDescent="0.25">
      <c r="A710" t="s">
        <v>740</v>
      </c>
      <c r="B710" s="1">
        <v>43287</v>
      </c>
      <c r="C710" t="s">
        <v>15</v>
      </c>
      <c r="D710" t="s">
        <v>16</v>
      </c>
      <c r="E710">
        <v>14</v>
      </c>
      <c r="F710">
        <v>40</v>
      </c>
      <c r="G710">
        <v>560</v>
      </c>
      <c r="H710">
        <v>0.06</v>
      </c>
      <c r="I710">
        <v>33.6</v>
      </c>
      <c r="J710" t="s">
        <v>32</v>
      </c>
    </row>
    <row r="711" spans="1:10" x14ac:dyDescent="0.25">
      <c r="A711" t="s">
        <v>741</v>
      </c>
      <c r="B711" s="1">
        <v>43287</v>
      </c>
      <c r="C711" t="s">
        <v>11</v>
      </c>
      <c r="D711" t="s">
        <v>27</v>
      </c>
      <c r="E711">
        <v>7</v>
      </c>
      <c r="F711">
        <v>80</v>
      </c>
      <c r="G711">
        <v>560</v>
      </c>
      <c r="H711">
        <v>7.0000000000000007E-2</v>
      </c>
      <c r="I711">
        <v>39.200000000000003</v>
      </c>
      <c r="J711" t="s">
        <v>35</v>
      </c>
    </row>
    <row r="712" spans="1:10" x14ac:dyDescent="0.25">
      <c r="A712" t="s">
        <v>742</v>
      </c>
      <c r="B712" s="1">
        <v>43287</v>
      </c>
      <c r="C712" t="s">
        <v>11</v>
      </c>
      <c r="D712" t="s">
        <v>24</v>
      </c>
      <c r="E712">
        <v>7</v>
      </c>
      <c r="F712">
        <v>80</v>
      </c>
      <c r="G712">
        <v>560</v>
      </c>
      <c r="H712">
        <v>0.05</v>
      </c>
      <c r="I712">
        <v>28</v>
      </c>
      <c r="J712" t="s">
        <v>37</v>
      </c>
    </row>
    <row r="713" spans="1:10" x14ac:dyDescent="0.25">
      <c r="A713" t="s">
        <v>743</v>
      </c>
      <c r="B713" s="1">
        <v>43287</v>
      </c>
      <c r="C713" t="s">
        <v>34</v>
      </c>
      <c r="D713" t="s">
        <v>16</v>
      </c>
      <c r="E713">
        <v>10</v>
      </c>
      <c r="F713">
        <v>150</v>
      </c>
      <c r="G713">
        <v>1500</v>
      </c>
      <c r="H713">
        <v>0.01</v>
      </c>
      <c r="I713">
        <v>15</v>
      </c>
      <c r="J713" t="s">
        <v>39</v>
      </c>
    </row>
    <row r="714" spans="1:10" x14ac:dyDescent="0.25">
      <c r="A714" t="s">
        <v>744</v>
      </c>
      <c r="B714" s="1">
        <v>43287</v>
      </c>
      <c r="C714" t="s">
        <v>11</v>
      </c>
      <c r="D714" t="s">
        <v>24</v>
      </c>
      <c r="E714">
        <v>10</v>
      </c>
      <c r="F714">
        <v>80</v>
      </c>
      <c r="G714">
        <v>800</v>
      </c>
      <c r="H714">
        <v>0.08</v>
      </c>
      <c r="I714">
        <v>64</v>
      </c>
      <c r="J714" t="s">
        <v>32</v>
      </c>
    </row>
    <row r="715" spans="1:10" x14ac:dyDescent="0.25">
      <c r="A715" t="s">
        <v>745</v>
      </c>
      <c r="B715" s="1">
        <v>43287</v>
      </c>
      <c r="C715" t="s">
        <v>11</v>
      </c>
      <c r="D715" t="s">
        <v>27</v>
      </c>
      <c r="E715">
        <v>15</v>
      </c>
      <c r="F715">
        <v>80</v>
      </c>
      <c r="G715">
        <v>1200</v>
      </c>
      <c r="H715">
        <v>0.08</v>
      </c>
      <c r="I715">
        <v>96</v>
      </c>
      <c r="J715" t="s">
        <v>35</v>
      </c>
    </row>
    <row r="716" spans="1:10" x14ac:dyDescent="0.25">
      <c r="A716" t="s">
        <v>746</v>
      </c>
      <c r="B716" s="1">
        <v>43287</v>
      </c>
      <c r="C716" t="s">
        <v>19</v>
      </c>
      <c r="D716" t="s">
        <v>27</v>
      </c>
      <c r="E716">
        <v>18</v>
      </c>
      <c r="F716">
        <v>230</v>
      </c>
      <c r="G716">
        <v>4140</v>
      </c>
      <c r="H716">
        <v>0.01</v>
      </c>
      <c r="I716">
        <v>41.4</v>
      </c>
      <c r="J716" t="s">
        <v>37</v>
      </c>
    </row>
    <row r="717" spans="1:10" x14ac:dyDescent="0.25">
      <c r="A717" t="s">
        <v>747</v>
      </c>
      <c r="B717" s="1">
        <v>43287</v>
      </c>
      <c r="C717" t="s">
        <v>11</v>
      </c>
      <c r="D717" t="s">
        <v>12</v>
      </c>
      <c r="E717">
        <v>8</v>
      </c>
      <c r="F717">
        <v>80</v>
      </c>
      <c r="G717">
        <v>640</v>
      </c>
      <c r="H717">
        <v>0.09</v>
      </c>
      <c r="I717">
        <v>57.599999999999994</v>
      </c>
      <c r="J717" t="s">
        <v>39</v>
      </c>
    </row>
    <row r="718" spans="1:10" x14ac:dyDescent="0.25">
      <c r="A718" t="s">
        <v>748</v>
      </c>
      <c r="B718" s="1">
        <v>43287</v>
      </c>
      <c r="C718" t="s">
        <v>30</v>
      </c>
      <c r="D718" t="s">
        <v>24</v>
      </c>
      <c r="E718">
        <v>6</v>
      </c>
      <c r="F718">
        <v>16</v>
      </c>
      <c r="G718">
        <v>96</v>
      </c>
      <c r="H718">
        <v>0.01</v>
      </c>
      <c r="I718">
        <v>0.96</v>
      </c>
      <c r="J718" t="s">
        <v>32</v>
      </c>
    </row>
    <row r="719" spans="1:10" x14ac:dyDescent="0.25">
      <c r="A719" t="s">
        <v>749</v>
      </c>
      <c r="B719" s="1">
        <v>43287</v>
      </c>
      <c r="C719" t="s">
        <v>19</v>
      </c>
      <c r="D719" t="s">
        <v>16</v>
      </c>
      <c r="E719">
        <v>9</v>
      </c>
      <c r="F719">
        <v>230</v>
      </c>
      <c r="G719">
        <v>2070</v>
      </c>
      <c r="H719">
        <v>0.03</v>
      </c>
      <c r="I719">
        <v>62.099999999999994</v>
      </c>
      <c r="J719" t="s">
        <v>35</v>
      </c>
    </row>
    <row r="720" spans="1:10" x14ac:dyDescent="0.25">
      <c r="A720" t="s">
        <v>750</v>
      </c>
      <c r="B720" s="1">
        <v>43288</v>
      </c>
      <c r="C720" t="s">
        <v>15</v>
      </c>
      <c r="D720" t="s">
        <v>27</v>
      </c>
      <c r="E720">
        <v>15</v>
      </c>
      <c r="F720">
        <v>40</v>
      </c>
      <c r="G720">
        <v>600</v>
      </c>
      <c r="H720">
        <v>0.03</v>
      </c>
      <c r="I720">
        <v>18</v>
      </c>
      <c r="J720" t="s">
        <v>37</v>
      </c>
    </row>
    <row r="721" spans="1:10" x14ac:dyDescent="0.25">
      <c r="A721" t="s">
        <v>751</v>
      </c>
      <c r="B721" s="1">
        <v>43288</v>
      </c>
      <c r="C721" t="s">
        <v>15</v>
      </c>
      <c r="D721" t="s">
        <v>16</v>
      </c>
      <c r="E721">
        <v>15</v>
      </c>
      <c r="F721">
        <v>40</v>
      </c>
      <c r="G721">
        <v>600</v>
      </c>
      <c r="H721">
        <v>0.04</v>
      </c>
      <c r="I721">
        <v>24</v>
      </c>
      <c r="J721" t="s">
        <v>39</v>
      </c>
    </row>
    <row r="722" spans="1:10" x14ac:dyDescent="0.25">
      <c r="A722" t="s">
        <v>752</v>
      </c>
      <c r="B722" s="1">
        <v>43288</v>
      </c>
      <c r="C722" t="s">
        <v>30</v>
      </c>
      <c r="D722" t="s">
        <v>31</v>
      </c>
      <c r="E722">
        <v>11</v>
      </c>
      <c r="F722">
        <v>16</v>
      </c>
      <c r="G722">
        <v>176</v>
      </c>
      <c r="H722">
        <v>0.12</v>
      </c>
      <c r="I722">
        <v>21.119999999999997</v>
      </c>
      <c r="J722" t="s">
        <v>32</v>
      </c>
    </row>
    <row r="723" spans="1:10" x14ac:dyDescent="0.25">
      <c r="A723" t="s">
        <v>753</v>
      </c>
      <c r="B723" s="1">
        <v>43288</v>
      </c>
      <c r="C723" t="s">
        <v>30</v>
      </c>
      <c r="D723" t="s">
        <v>12</v>
      </c>
      <c r="E723">
        <v>12</v>
      </c>
      <c r="F723">
        <v>16</v>
      </c>
      <c r="G723">
        <v>192</v>
      </c>
      <c r="H723">
        <v>0.11</v>
      </c>
      <c r="I723">
        <v>21.12</v>
      </c>
      <c r="J723" t="s">
        <v>20</v>
      </c>
    </row>
    <row r="724" spans="1:10" x14ac:dyDescent="0.25">
      <c r="A724" t="s">
        <v>754</v>
      </c>
      <c r="B724" s="1">
        <v>43288</v>
      </c>
      <c r="C724" t="s">
        <v>30</v>
      </c>
      <c r="D724" t="s">
        <v>27</v>
      </c>
      <c r="E724">
        <v>18</v>
      </c>
      <c r="F724">
        <v>16</v>
      </c>
      <c r="G724">
        <v>288</v>
      </c>
      <c r="H724">
        <v>0.04</v>
      </c>
      <c r="I724">
        <v>11.52</v>
      </c>
      <c r="J724" t="s">
        <v>37</v>
      </c>
    </row>
    <row r="725" spans="1:10" x14ac:dyDescent="0.25">
      <c r="A725" t="s">
        <v>755</v>
      </c>
      <c r="B725" s="1">
        <v>43288</v>
      </c>
      <c r="C725" t="s">
        <v>15</v>
      </c>
      <c r="D725" t="s">
        <v>24</v>
      </c>
      <c r="E725">
        <v>20</v>
      </c>
      <c r="F725">
        <v>40</v>
      </c>
      <c r="G725">
        <v>800</v>
      </c>
      <c r="H725">
        <v>0.01</v>
      </c>
      <c r="I725">
        <v>8</v>
      </c>
      <c r="J725" t="s">
        <v>20</v>
      </c>
    </row>
    <row r="726" spans="1:10" x14ac:dyDescent="0.25">
      <c r="A726" t="s">
        <v>756</v>
      </c>
      <c r="B726" s="1">
        <v>43288</v>
      </c>
      <c r="C726" t="s">
        <v>34</v>
      </c>
      <c r="D726" t="s">
        <v>31</v>
      </c>
      <c r="E726">
        <v>7</v>
      </c>
      <c r="F726">
        <v>150</v>
      </c>
      <c r="G726">
        <v>1050</v>
      </c>
      <c r="H726">
        <v>0.03</v>
      </c>
      <c r="I726">
        <v>31.5</v>
      </c>
      <c r="J726" t="s">
        <v>37</v>
      </c>
    </row>
    <row r="727" spans="1:10" x14ac:dyDescent="0.25">
      <c r="A727" t="s">
        <v>757</v>
      </c>
      <c r="B727" s="1">
        <v>43288</v>
      </c>
      <c r="C727" t="s">
        <v>15</v>
      </c>
      <c r="D727" t="s">
        <v>27</v>
      </c>
      <c r="E727">
        <v>23</v>
      </c>
      <c r="F727">
        <v>40</v>
      </c>
      <c r="G727">
        <v>920</v>
      </c>
      <c r="H727">
        <v>0.06</v>
      </c>
      <c r="I727">
        <v>55.199999999999996</v>
      </c>
      <c r="J727" t="s">
        <v>20</v>
      </c>
    </row>
    <row r="728" spans="1:10" x14ac:dyDescent="0.25">
      <c r="A728" t="s">
        <v>758</v>
      </c>
      <c r="B728" s="1">
        <v>43288</v>
      </c>
      <c r="C728" t="s">
        <v>11</v>
      </c>
      <c r="D728" t="s">
        <v>12</v>
      </c>
      <c r="E728">
        <v>7</v>
      </c>
      <c r="F728">
        <v>80</v>
      </c>
      <c r="G728">
        <v>560</v>
      </c>
      <c r="H728">
        <v>0.02</v>
      </c>
      <c r="I728">
        <v>11.200000000000001</v>
      </c>
      <c r="J728" t="s">
        <v>37</v>
      </c>
    </row>
    <row r="729" spans="1:10" x14ac:dyDescent="0.25">
      <c r="A729" t="s">
        <v>759</v>
      </c>
      <c r="B729" s="1">
        <v>43288</v>
      </c>
      <c r="C729" t="s">
        <v>34</v>
      </c>
      <c r="D729" t="s">
        <v>16</v>
      </c>
      <c r="E729">
        <v>16</v>
      </c>
      <c r="F729">
        <v>150</v>
      </c>
      <c r="G729">
        <v>2400</v>
      </c>
      <c r="H729">
        <v>0.05</v>
      </c>
      <c r="I729">
        <v>120</v>
      </c>
      <c r="J729" t="s">
        <v>20</v>
      </c>
    </row>
    <row r="730" spans="1:10" x14ac:dyDescent="0.25">
      <c r="A730" t="s">
        <v>760</v>
      </c>
      <c r="B730" s="1">
        <v>43288</v>
      </c>
      <c r="C730" t="s">
        <v>19</v>
      </c>
      <c r="D730" t="s">
        <v>16</v>
      </c>
      <c r="E730">
        <v>6</v>
      </c>
      <c r="F730">
        <v>230</v>
      </c>
      <c r="G730">
        <v>1380</v>
      </c>
      <c r="H730">
        <v>0.1</v>
      </c>
      <c r="I730">
        <v>138</v>
      </c>
      <c r="J730" t="s">
        <v>37</v>
      </c>
    </row>
    <row r="731" spans="1:10" x14ac:dyDescent="0.25">
      <c r="A731" t="s">
        <v>761</v>
      </c>
      <c r="B731" s="1">
        <v>43289</v>
      </c>
      <c r="C731" t="s">
        <v>15</v>
      </c>
      <c r="D731" t="s">
        <v>31</v>
      </c>
      <c r="E731">
        <v>7</v>
      </c>
      <c r="F731">
        <v>40</v>
      </c>
      <c r="G731">
        <v>280</v>
      </c>
      <c r="H731">
        <v>0.12</v>
      </c>
      <c r="I731">
        <v>33.6</v>
      </c>
      <c r="J731" t="s">
        <v>20</v>
      </c>
    </row>
    <row r="732" spans="1:10" x14ac:dyDescent="0.25">
      <c r="A732" t="s">
        <v>762</v>
      </c>
      <c r="B732" s="1">
        <v>43289</v>
      </c>
      <c r="C732" t="s">
        <v>11</v>
      </c>
      <c r="D732" t="s">
        <v>24</v>
      </c>
      <c r="E732">
        <v>23</v>
      </c>
      <c r="F732">
        <v>80</v>
      </c>
      <c r="G732">
        <v>1840</v>
      </c>
      <c r="H732">
        <v>0.05</v>
      </c>
      <c r="I732">
        <v>92</v>
      </c>
      <c r="J732" t="s">
        <v>37</v>
      </c>
    </row>
    <row r="733" spans="1:10" x14ac:dyDescent="0.25">
      <c r="A733" t="s">
        <v>763</v>
      </c>
      <c r="B733" s="1">
        <v>43289</v>
      </c>
      <c r="C733" t="s">
        <v>11</v>
      </c>
      <c r="D733" t="s">
        <v>27</v>
      </c>
      <c r="E733">
        <v>16</v>
      </c>
      <c r="F733">
        <v>80</v>
      </c>
      <c r="G733">
        <v>1280</v>
      </c>
      <c r="H733">
        <v>0.1</v>
      </c>
      <c r="I733">
        <v>128</v>
      </c>
      <c r="J733" t="s">
        <v>20</v>
      </c>
    </row>
    <row r="734" spans="1:10" x14ac:dyDescent="0.25">
      <c r="A734" t="s">
        <v>764</v>
      </c>
      <c r="B734" s="1">
        <v>43289</v>
      </c>
      <c r="C734" t="s">
        <v>11</v>
      </c>
      <c r="D734" t="s">
        <v>12</v>
      </c>
      <c r="E734">
        <v>16</v>
      </c>
      <c r="F734">
        <v>80</v>
      </c>
      <c r="G734">
        <v>1280</v>
      </c>
      <c r="H734">
        <v>0.03</v>
      </c>
      <c r="I734">
        <v>38.4</v>
      </c>
      <c r="J734" t="s">
        <v>37</v>
      </c>
    </row>
    <row r="735" spans="1:10" x14ac:dyDescent="0.25">
      <c r="A735" t="s">
        <v>765</v>
      </c>
      <c r="B735" s="1">
        <v>43289</v>
      </c>
      <c r="C735" t="s">
        <v>11</v>
      </c>
      <c r="D735" t="s">
        <v>31</v>
      </c>
      <c r="E735">
        <v>22</v>
      </c>
      <c r="F735">
        <v>80</v>
      </c>
      <c r="G735">
        <v>1760</v>
      </c>
      <c r="H735">
        <v>0.09</v>
      </c>
      <c r="I735">
        <v>158.4</v>
      </c>
      <c r="J735" t="s">
        <v>20</v>
      </c>
    </row>
    <row r="736" spans="1:10" x14ac:dyDescent="0.25">
      <c r="A736" t="s">
        <v>766</v>
      </c>
      <c r="B736" s="1">
        <v>43289</v>
      </c>
      <c r="C736" t="s">
        <v>30</v>
      </c>
      <c r="D736" t="s">
        <v>12</v>
      </c>
      <c r="E736">
        <v>18</v>
      </c>
      <c r="F736">
        <v>16</v>
      </c>
      <c r="G736">
        <v>288</v>
      </c>
      <c r="H736">
        <v>0.05</v>
      </c>
      <c r="I736">
        <v>14.4</v>
      </c>
      <c r="J736" t="s">
        <v>37</v>
      </c>
    </row>
    <row r="737" spans="1:10" x14ac:dyDescent="0.25">
      <c r="A737" t="s">
        <v>767</v>
      </c>
      <c r="B737" s="1">
        <v>43289</v>
      </c>
      <c r="C737" t="s">
        <v>19</v>
      </c>
      <c r="D737" t="s">
        <v>31</v>
      </c>
      <c r="E737">
        <v>5</v>
      </c>
      <c r="F737">
        <v>230</v>
      </c>
      <c r="G737">
        <v>1150</v>
      </c>
      <c r="H737">
        <v>0.12</v>
      </c>
      <c r="I737">
        <v>138</v>
      </c>
      <c r="J737" t="s">
        <v>20</v>
      </c>
    </row>
    <row r="738" spans="1:10" x14ac:dyDescent="0.25">
      <c r="A738" t="s">
        <v>768</v>
      </c>
      <c r="B738" s="1">
        <v>43289</v>
      </c>
      <c r="C738" t="s">
        <v>34</v>
      </c>
      <c r="D738" t="s">
        <v>31</v>
      </c>
      <c r="E738">
        <v>7</v>
      </c>
      <c r="F738">
        <v>150</v>
      </c>
      <c r="G738">
        <v>1050</v>
      </c>
      <c r="H738">
        <v>0.02</v>
      </c>
      <c r="I738">
        <v>21</v>
      </c>
      <c r="J738" t="s">
        <v>37</v>
      </c>
    </row>
    <row r="739" spans="1:10" x14ac:dyDescent="0.25">
      <c r="A739" t="s">
        <v>769</v>
      </c>
      <c r="B739" s="1">
        <v>43289</v>
      </c>
      <c r="C739" t="s">
        <v>15</v>
      </c>
      <c r="D739" t="s">
        <v>24</v>
      </c>
      <c r="E739">
        <v>2</v>
      </c>
      <c r="F739">
        <v>40</v>
      </c>
      <c r="G739">
        <v>80</v>
      </c>
      <c r="H739">
        <v>0.03</v>
      </c>
      <c r="I739">
        <v>2.4</v>
      </c>
      <c r="J739" t="s">
        <v>20</v>
      </c>
    </row>
    <row r="740" spans="1:10" x14ac:dyDescent="0.25">
      <c r="A740" t="s">
        <v>770</v>
      </c>
      <c r="B740" s="1">
        <v>43289</v>
      </c>
      <c r="C740" t="s">
        <v>15</v>
      </c>
      <c r="D740" t="s">
        <v>27</v>
      </c>
      <c r="E740">
        <v>11</v>
      </c>
      <c r="F740">
        <v>40</v>
      </c>
      <c r="G740">
        <v>440</v>
      </c>
      <c r="H740">
        <v>0.06</v>
      </c>
      <c r="I740">
        <v>26.4</v>
      </c>
      <c r="J740" t="s">
        <v>37</v>
      </c>
    </row>
    <row r="741" spans="1:10" x14ac:dyDescent="0.25">
      <c r="A741" t="s">
        <v>771</v>
      </c>
      <c r="B741" s="1">
        <v>43289</v>
      </c>
      <c r="C741" t="s">
        <v>11</v>
      </c>
      <c r="D741" t="s">
        <v>27</v>
      </c>
      <c r="E741">
        <v>7</v>
      </c>
      <c r="F741">
        <v>80</v>
      </c>
      <c r="G741">
        <v>560</v>
      </c>
      <c r="H741">
        <v>0.02</v>
      </c>
      <c r="I741">
        <v>11.200000000000001</v>
      </c>
      <c r="J741" t="s">
        <v>20</v>
      </c>
    </row>
    <row r="742" spans="1:10" x14ac:dyDescent="0.25">
      <c r="A742" t="s">
        <v>772</v>
      </c>
      <c r="B742" s="1">
        <v>43290</v>
      </c>
      <c r="C742" t="s">
        <v>15</v>
      </c>
      <c r="D742" t="s">
        <v>24</v>
      </c>
      <c r="E742">
        <v>4</v>
      </c>
      <c r="F742">
        <v>40</v>
      </c>
      <c r="G742">
        <v>160</v>
      </c>
      <c r="H742">
        <v>0.11</v>
      </c>
      <c r="I742">
        <v>17.600000000000001</v>
      </c>
      <c r="J742" t="s">
        <v>37</v>
      </c>
    </row>
    <row r="743" spans="1:10" x14ac:dyDescent="0.25">
      <c r="A743" t="s">
        <v>773</v>
      </c>
      <c r="B743" s="1">
        <v>43290</v>
      </c>
      <c r="C743" t="s">
        <v>15</v>
      </c>
      <c r="D743" t="s">
        <v>24</v>
      </c>
      <c r="E743">
        <v>2</v>
      </c>
      <c r="F743">
        <v>40</v>
      </c>
      <c r="G743">
        <v>80</v>
      </c>
      <c r="H743">
        <v>0.02</v>
      </c>
      <c r="I743">
        <v>1.6</v>
      </c>
      <c r="J743" t="s">
        <v>20</v>
      </c>
    </row>
    <row r="744" spans="1:10" x14ac:dyDescent="0.25">
      <c r="A744" t="s">
        <v>774</v>
      </c>
      <c r="B744" s="1">
        <v>43290</v>
      </c>
      <c r="C744" t="s">
        <v>19</v>
      </c>
      <c r="D744" t="s">
        <v>27</v>
      </c>
      <c r="E744">
        <v>23</v>
      </c>
      <c r="F744">
        <v>230</v>
      </c>
      <c r="G744">
        <v>5290</v>
      </c>
      <c r="H744">
        <v>0.06</v>
      </c>
      <c r="I744">
        <v>317.39999999999998</v>
      </c>
      <c r="J744" t="s">
        <v>37</v>
      </c>
    </row>
    <row r="745" spans="1:10" x14ac:dyDescent="0.25">
      <c r="A745" t="s">
        <v>775</v>
      </c>
      <c r="B745" s="1">
        <v>43290</v>
      </c>
      <c r="C745" t="s">
        <v>11</v>
      </c>
      <c r="D745" t="s">
        <v>31</v>
      </c>
      <c r="E745">
        <v>21</v>
      </c>
      <c r="F745">
        <v>80</v>
      </c>
      <c r="G745">
        <v>1680</v>
      </c>
      <c r="H745">
        <v>0.09</v>
      </c>
      <c r="I745">
        <v>151.19999999999999</v>
      </c>
      <c r="J745" t="s">
        <v>20</v>
      </c>
    </row>
    <row r="746" spans="1:10" x14ac:dyDescent="0.25">
      <c r="A746" t="s">
        <v>776</v>
      </c>
      <c r="B746" s="1">
        <v>43290</v>
      </c>
      <c r="C746" t="s">
        <v>11</v>
      </c>
      <c r="D746" t="s">
        <v>31</v>
      </c>
      <c r="E746">
        <v>9</v>
      </c>
      <c r="F746">
        <v>80</v>
      </c>
      <c r="G746">
        <v>720</v>
      </c>
      <c r="H746">
        <v>0.06</v>
      </c>
      <c r="I746">
        <v>43.199999999999996</v>
      </c>
      <c r="J746" t="s">
        <v>37</v>
      </c>
    </row>
    <row r="747" spans="1:10" x14ac:dyDescent="0.25">
      <c r="A747" t="s">
        <v>777</v>
      </c>
      <c r="B747" s="1">
        <v>43290</v>
      </c>
      <c r="C747" t="s">
        <v>11</v>
      </c>
      <c r="D747" t="s">
        <v>31</v>
      </c>
      <c r="E747">
        <v>22</v>
      </c>
      <c r="F747">
        <v>80</v>
      </c>
      <c r="G747">
        <v>1760</v>
      </c>
      <c r="H747">
        <v>0.11</v>
      </c>
      <c r="I747">
        <v>193.6</v>
      </c>
      <c r="J747" t="s">
        <v>20</v>
      </c>
    </row>
    <row r="748" spans="1:10" x14ac:dyDescent="0.25">
      <c r="A748" t="s">
        <v>778</v>
      </c>
      <c r="B748" s="1">
        <v>43291</v>
      </c>
      <c r="C748" t="s">
        <v>19</v>
      </c>
      <c r="D748" t="s">
        <v>24</v>
      </c>
      <c r="E748">
        <v>15</v>
      </c>
      <c r="F748">
        <v>230</v>
      </c>
      <c r="G748">
        <v>3450</v>
      </c>
      <c r="H748">
        <v>0.11</v>
      </c>
      <c r="I748">
        <v>379.5</v>
      </c>
      <c r="J748" t="s">
        <v>37</v>
      </c>
    </row>
    <row r="749" spans="1:10" x14ac:dyDescent="0.25">
      <c r="A749" t="s">
        <v>779</v>
      </c>
      <c r="B749" s="1">
        <v>43291</v>
      </c>
      <c r="C749" t="s">
        <v>15</v>
      </c>
      <c r="D749" t="s">
        <v>16</v>
      </c>
      <c r="E749">
        <v>7</v>
      </c>
      <c r="F749">
        <v>40</v>
      </c>
      <c r="G749">
        <v>280</v>
      </c>
      <c r="H749">
        <v>0.01</v>
      </c>
      <c r="I749">
        <v>2.8000000000000003</v>
      </c>
      <c r="J749" t="s">
        <v>20</v>
      </c>
    </row>
    <row r="750" spans="1:10" x14ac:dyDescent="0.25">
      <c r="A750" t="s">
        <v>780</v>
      </c>
      <c r="B750" s="1">
        <v>43291</v>
      </c>
      <c r="C750" t="s">
        <v>34</v>
      </c>
      <c r="D750" t="s">
        <v>31</v>
      </c>
      <c r="E750">
        <v>17</v>
      </c>
      <c r="F750">
        <v>150</v>
      </c>
      <c r="G750">
        <v>2550</v>
      </c>
      <c r="H750">
        <v>0.02</v>
      </c>
      <c r="I750">
        <v>51</v>
      </c>
      <c r="J750" t="s">
        <v>37</v>
      </c>
    </row>
    <row r="751" spans="1:10" x14ac:dyDescent="0.25">
      <c r="A751" t="s">
        <v>781</v>
      </c>
      <c r="B751" s="1">
        <v>43291</v>
      </c>
      <c r="C751" t="s">
        <v>34</v>
      </c>
      <c r="D751" t="s">
        <v>16</v>
      </c>
      <c r="E751">
        <v>22</v>
      </c>
      <c r="F751">
        <v>150</v>
      </c>
      <c r="G751">
        <v>3300</v>
      </c>
      <c r="H751">
        <v>0.02</v>
      </c>
      <c r="I751">
        <v>66</v>
      </c>
      <c r="J751" t="s">
        <v>20</v>
      </c>
    </row>
    <row r="752" spans="1:10" x14ac:dyDescent="0.25">
      <c r="A752" t="s">
        <v>782</v>
      </c>
      <c r="B752" s="1">
        <v>43291</v>
      </c>
      <c r="C752" t="s">
        <v>19</v>
      </c>
      <c r="D752" t="s">
        <v>24</v>
      </c>
      <c r="E752">
        <v>10</v>
      </c>
      <c r="F752">
        <v>230</v>
      </c>
      <c r="G752">
        <v>2300</v>
      </c>
      <c r="H752">
        <v>0.02</v>
      </c>
      <c r="I752">
        <v>46</v>
      </c>
      <c r="J752" t="s">
        <v>37</v>
      </c>
    </row>
    <row r="753" spans="1:10" x14ac:dyDescent="0.25">
      <c r="A753" t="s">
        <v>783</v>
      </c>
      <c r="B753" s="1">
        <v>43291</v>
      </c>
      <c r="C753" t="s">
        <v>15</v>
      </c>
      <c r="D753" t="s">
        <v>31</v>
      </c>
      <c r="E753">
        <v>21</v>
      </c>
      <c r="F753">
        <v>40</v>
      </c>
      <c r="G753">
        <v>840</v>
      </c>
      <c r="H753">
        <v>0.01</v>
      </c>
      <c r="I753">
        <v>8.4</v>
      </c>
      <c r="J753" t="s">
        <v>20</v>
      </c>
    </row>
    <row r="754" spans="1:10" x14ac:dyDescent="0.25">
      <c r="A754" t="s">
        <v>784</v>
      </c>
      <c r="B754" s="1">
        <v>43291</v>
      </c>
      <c r="C754" t="s">
        <v>19</v>
      </c>
      <c r="D754" t="s">
        <v>24</v>
      </c>
      <c r="E754">
        <v>5</v>
      </c>
      <c r="F754">
        <v>230</v>
      </c>
      <c r="G754">
        <v>1150</v>
      </c>
      <c r="H754">
        <v>0.1</v>
      </c>
      <c r="I754">
        <v>115</v>
      </c>
      <c r="J754" t="s">
        <v>37</v>
      </c>
    </row>
    <row r="755" spans="1:10" x14ac:dyDescent="0.25">
      <c r="A755" t="s">
        <v>785</v>
      </c>
      <c r="B755" s="1">
        <v>43291</v>
      </c>
      <c r="C755" t="s">
        <v>19</v>
      </c>
      <c r="D755" t="s">
        <v>31</v>
      </c>
      <c r="E755">
        <v>13</v>
      </c>
      <c r="F755">
        <v>230</v>
      </c>
      <c r="G755">
        <v>2990</v>
      </c>
      <c r="H755">
        <v>0.06</v>
      </c>
      <c r="I755">
        <v>179.4</v>
      </c>
      <c r="J755" t="s">
        <v>20</v>
      </c>
    </row>
    <row r="756" spans="1:10" x14ac:dyDescent="0.25">
      <c r="A756" t="s">
        <v>786</v>
      </c>
      <c r="B756" s="1">
        <v>43291</v>
      </c>
      <c r="C756" t="s">
        <v>34</v>
      </c>
      <c r="D756" t="s">
        <v>12</v>
      </c>
      <c r="E756">
        <v>23</v>
      </c>
      <c r="F756">
        <v>150</v>
      </c>
      <c r="G756">
        <v>3450</v>
      </c>
      <c r="H756">
        <v>0.1</v>
      </c>
      <c r="I756">
        <v>345</v>
      </c>
      <c r="J756" t="s">
        <v>37</v>
      </c>
    </row>
    <row r="757" spans="1:10" x14ac:dyDescent="0.25">
      <c r="A757" t="s">
        <v>787</v>
      </c>
      <c r="B757" s="1">
        <v>43291</v>
      </c>
      <c r="C757" t="s">
        <v>34</v>
      </c>
      <c r="D757" t="s">
        <v>12</v>
      </c>
      <c r="E757">
        <v>20</v>
      </c>
      <c r="F757">
        <v>150</v>
      </c>
      <c r="G757">
        <v>3000</v>
      </c>
      <c r="H757">
        <v>0.03</v>
      </c>
      <c r="I757">
        <v>90</v>
      </c>
      <c r="J757" t="s">
        <v>20</v>
      </c>
    </row>
    <row r="758" spans="1:10" x14ac:dyDescent="0.25">
      <c r="A758" t="s">
        <v>788</v>
      </c>
      <c r="B758" s="1">
        <v>43292</v>
      </c>
      <c r="C758" t="s">
        <v>19</v>
      </c>
      <c r="D758" t="s">
        <v>12</v>
      </c>
      <c r="E758">
        <v>3</v>
      </c>
      <c r="F758">
        <v>230</v>
      </c>
      <c r="G758">
        <v>690</v>
      </c>
      <c r="H758">
        <v>0.11</v>
      </c>
      <c r="I758">
        <v>75.900000000000006</v>
      </c>
      <c r="J758" t="s">
        <v>37</v>
      </c>
    </row>
    <row r="759" spans="1:10" x14ac:dyDescent="0.25">
      <c r="A759" t="s">
        <v>789</v>
      </c>
      <c r="B759" s="1">
        <v>43292</v>
      </c>
      <c r="C759" t="s">
        <v>34</v>
      </c>
      <c r="D759" t="s">
        <v>16</v>
      </c>
      <c r="E759">
        <v>16</v>
      </c>
      <c r="F759">
        <v>150</v>
      </c>
      <c r="G759">
        <v>2400</v>
      </c>
      <c r="H759">
        <v>0.08</v>
      </c>
      <c r="I759">
        <v>192</v>
      </c>
      <c r="J759" t="s">
        <v>20</v>
      </c>
    </row>
    <row r="760" spans="1:10" x14ac:dyDescent="0.25">
      <c r="A760" t="s">
        <v>790</v>
      </c>
      <c r="B760" s="1">
        <v>43292</v>
      </c>
      <c r="C760" t="s">
        <v>30</v>
      </c>
      <c r="D760" t="s">
        <v>31</v>
      </c>
      <c r="E760">
        <v>14</v>
      </c>
      <c r="F760">
        <v>16</v>
      </c>
      <c r="G760">
        <v>224</v>
      </c>
      <c r="H760">
        <v>0.06</v>
      </c>
      <c r="I760">
        <v>13.44</v>
      </c>
      <c r="J760" t="s">
        <v>37</v>
      </c>
    </row>
    <row r="761" spans="1:10" x14ac:dyDescent="0.25">
      <c r="A761" t="s">
        <v>791</v>
      </c>
      <c r="B761" s="1">
        <v>43292</v>
      </c>
      <c r="C761" t="s">
        <v>34</v>
      </c>
      <c r="D761" t="s">
        <v>16</v>
      </c>
      <c r="E761">
        <v>16</v>
      </c>
      <c r="F761">
        <v>150</v>
      </c>
      <c r="G761">
        <v>2400</v>
      </c>
      <c r="H761">
        <v>0.03</v>
      </c>
      <c r="I761">
        <v>72</v>
      </c>
      <c r="J761" t="s">
        <v>20</v>
      </c>
    </row>
    <row r="762" spans="1:10" x14ac:dyDescent="0.25">
      <c r="A762" t="s">
        <v>792</v>
      </c>
      <c r="B762" s="1">
        <v>43292</v>
      </c>
      <c r="C762" t="s">
        <v>30</v>
      </c>
      <c r="D762" t="s">
        <v>31</v>
      </c>
      <c r="E762">
        <v>19</v>
      </c>
      <c r="F762">
        <v>16</v>
      </c>
      <c r="G762">
        <v>304</v>
      </c>
      <c r="H762">
        <v>0.02</v>
      </c>
      <c r="I762">
        <v>6.08</v>
      </c>
      <c r="J762" t="s">
        <v>37</v>
      </c>
    </row>
    <row r="763" spans="1:10" x14ac:dyDescent="0.25">
      <c r="A763" t="s">
        <v>793</v>
      </c>
      <c r="B763" s="1">
        <v>43292</v>
      </c>
      <c r="C763" t="s">
        <v>11</v>
      </c>
      <c r="D763" t="s">
        <v>31</v>
      </c>
      <c r="E763">
        <v>6</v>
      </c>
      <c r="F763">
        <v>80</v>
      </c>
      <c r="G763">
        <v>480</v>
      </c>
      <c r="H763">
        <v>0.09</v>
      </c>
      <c r="I763">
        <v>43.199999999999996</v>
      </c>
      <c r="J763" t="s">
        <v>20</v>
      </c>
    </row>
    <row r="764" spans="1:10" x14ac:dyDescent="0.25">
      <c r="A764" t="s">
        <v>794</v>
      </c>
      <c r="B764" s="1">
        <v>43292</v>
      </c>
      <c r="C764" t="s">
        <v>11</v>
      </c>
      <c r="D764" t="s">
        <v>31</v>
      </c>
      <c r="E764">
        <v>9</v>
      </c>
      <c r="F764">
        <v>80</v>
      </c>
      <c r="G764">
        <v>720</v>
      </c>
      <c r="H764">
        <v>7.0000000000000007E-2</v>
      </c>
      <c r="I764">
        <v>50.400000000000006</v>
      </c>
      <c r="J764" t="s">
        <v>37</v>
      </c>
    </row>
    <row r="765" spans="1:10" x14ac:dyDescent="0.25">
      <c r="A765" t="s">
        <v>795</v>
      </c>
      <c r="B765" s="1">
        <v>43292</v>
      </c>
      <c r="C765" t="s">
        <v>34</v>
      </c>
      <c r="D765" t="s">
        <v>16</v>
      </c>
      <c r="E765">
        <v>20</v>
      </c>
      <c r="F765">
        <v>150</v>
      </c>
      <c r="G765">
        <v>3000</v>
      </c>
      <c r="H765">
        <v>0.09</v>
      </c>
      <c r="I765">
        <v>270</v>
      </c>
      <c r="J765" t="s">
        <v>20</v>
      </c>
    </row>
    <row r="766" spans="1:10" x14ac:dyDescent="0.25">
      <c r="A766" t="s">
        <v>796</v>
      </c>
      <c r="B766" s="1">
        <v>43292</v>
      </c>
      <c r="C766" t="s">
        <v>11</v>
      </c>
      <c r="D766" t="s">
        <v>24</v>
      </c>
      <c r="E766">
        <v>10</v>
      </c>
      <c r="F766">
        <v>80</v>
      </c>
      <c r="G766">
        <v>800</v>
      </c>
      <c r="H766">
        <v>0.11</v>
      </c>
      <c r="I766">
        <v>88</v>
      </c>
      <c r="J766" t="s">
        <v>37</v>
      </c>
    </row>
    <row r="767" spans="1:10" x14ac:dyDescent="0.25">
      <c r="A767" t="s">
        <v>797</v>
      </c>
      <c r="B767" s="1">
        <v>43292</v>
      </c>
      <c r="C767" t="s">
        <v>30</v>
      </c>
      <c r="D767" t="s">
        <v>12</v>
      </c>
      <c r="E767">
        <v>4</v>
      </c>
      <c r="F767">
        <v>16</v>
      </c>
      <c r="G767">
        <v>64</v>
      </c>
      <c r="H767">
        <v>0.12</v>
      </c>
      <c r="I767">
        <v>7.68</v>
      </c>
      <c r="J767" t="s">
        <v>20</v>
      </c>
    </row>
    <row r="768" spans="1:10" x14ac:dyDescent="0.25">
      <c r="A768" t="s">
        <v>798</v>
      </c>
      <c r="B768" s="1">
        <v>43292</v>
      </c>
      <c r="C768" t="s">
        <v>15</v>
      </c>
      <c r="D768" t="s">
        <v>31</v>
      </c>
      <c r="E768">
        <v>16</v>
      </c>
      <c r="F768">
        <v>40</v>
      </c>
      <c r="G768">
        <v>640</v>
      </c>
      <c r="H768">
        <v>0.11</v>
      </c>
      <c r="I768">
        <v>70.400000000000006</v>
      </c>
      <c r="J768" t="s">
        <v>37</v>
      </c>
    </row>
    <row r="769" spans="1:10" x14ac:dyDescent="0.25">
      <c r="A769" t="s">
        <v>799</v>
      </c>
      <c r="B769" s="1">
        <v>43293</v>
      </c>
      <c r="C769" t="s">
        <v>11</v>
      </c>
      <c r="D769" t="s">
        <v>16</v>
      </c>
      <c r="E769">
        <v>5</v>
      </c>
      <c r="F769">
        <v>80</v>
      </c>
      <c r="G769">
        <v>400</v>
      </c>
      <c r="H769">
        <v>0.04</v>
      </c>
      <c r="I769">
        <v>16</v>
      </c>
      <c r="J769" t="s">
        <v>20</v>
      </c>
    </row>
    <row r="770" spans="1:10" x14ac:dyDescent="0.25">
      <c r="A770" t="s">
        <v>800</v>
      </c>
      <c r="B770" s="1">
        <v>43293</v>
      </c>
      <c r="C770" t="s">
        <v>30</v>
      </c>
      <c r="D770" t="s">
        <v>24</v>
      </c>
      <c r="E770">
        <v>11</v>
      </c>
      <c r="F770">
        <v>16</v>
      </c>
      <c r="G770">
        <v>176</v>
      </c>
      <c r="H770">
        <v>0.04</v>
      </c>
      <c r="I770">
        <v>7.04</v>
      </c>
      <c r="J770" t="s">
        <v>37</v>
      </c>
    </row>
    <row r="771" spans="1:10" x14ac:dyDescent="0.25">
      <c r="A771" t="s">
        <v>801</v>
      </c>
      <c r="B771" s="1">
        <v>43293</v>
      </c>
      <c r="C771" t="s">
        <v>34</v>
      </c>
      <c r="D771" t="s">
        <v>12</v>
      </c>
      <c r="E771">
        <v>17</v>
      </c>
      <c r="F771">
        <v>150</v>
      </c>
      <c r="G771">
        <v>2550</v>
      </c>
      <c r="H771">
        <v>0.12</v>
      </c>
      <c r="I771">
        <v>306</v>
      </c>
      <c r="J771" t="s">
        <v>20</v>
      </c>
    </row>
    <row r="772" spans="1:10" x14ac:dyDescent="0.25">
      <c r="A772" t="s">
        <v>802</v>
      </c>
      <c r="B772" s="1">
        <v>43293</v>
      </c>
      <c r="C772" t="s">
        <v>19</v>
      </c>
      <c r="D772" t="s">
        <v>16</v>
      </c>
      <c r="E772">
        <v>19</v>
      </c>
      <c r="F772">
        <v>230</v>
      </c>
      <c r="G772">
        <v>4370</v>
      </c>
      <c r="H772">
        <v>0.11</v>
      </c>
      <c r="I772">
        <v>480.7</v>
      </c>
      <c r="J772" t="s">
        <v>37</v>
      </c>
    </row>
    <row r="773" spans="1:10" x14ac:dyDescent="0.25">
      <c r="A773" t="s">
        <v>803</v>
      </c>
      <c r="B773" s="1">
        <v>43293</v>
      </c>
      <c r="C773" t="s">
        <v>11</v>
      </c>
      <c r="D773" t="s">
        <v>12</v>
      </c>
      <c r="E773">
        <v>21</v>
      </c>
      <c r="F773">
        <v>80</v>
      </c>
      <c r="G773">
        <v>1680</v>
      </c>
      <c r="H773">
        <v>0.04</v>
      </c>
      <c r="I773">
        <v>67.2</v>
      </c>
      <c r="J773" t="s">
        <v>20</v>
      </c>
    </row>
    <row r="774" spans="1:10" x14ac:dyDescent="0.25">
      <c r="A774" t="s">
        <v>804</v>
      </c>
      <c r="B774" s="1">
        <v>43293</v>
      </c>
      <c r="C774" t="s">
        <v>19</v>
      </c>
      <c r="D774" t="s">
        <v>16</v>
      </c>
      <c r="E774">
        <v>7</v>
      </c>
      <c r="F774">
        <v>230</v>
      </c>
      <c r="G774">
        <v>1610</v>
      </c>
      <c r="H774">
        <v>0.01</v>
      </c>
      <c r="I774">
        <v>16.100000000000001</v>
      </c>
      <c r="J774" t="s">
        <v>37</v>
      </c>
    </row>
    <row r="775" spans="1:10" x14ac:dyDescent="0.25">
      <c r="A775" t="s">
        <v>805</v>
      </c>
      <c r="B775" s="1">
        <v>43293</v>
      </c>
      <c r="C775" t="s">
        <v>15</v>
      </c>
      <c r="D775" t="s">
        <v>24</v>
      </c>
      <c r="E775">
        <v>2</v>
      </c>
      <c r="F775">
        <v>40</v>
      </c>
      <c r="G775">
        <v>80</v>
      </c>
      <c r="H775">
        <v>0.03</v>
      </c>
      <c r="I775">
        <v>2.4</v>
      </c>
      <c r="J775" t="s">
        <v>20</v>
      </c>
    </row>
    <row r="776" spans="1:10" x14ac:dyDescent="0.25">
      <c r="A776" t="s">
        <v>806</v>
      </c>
      <c r="B776" s="1">
        <v>43293</v>
      </c>
      <c r="C776" t="s">
        <v>34</v>
      </c>
      <c r="D776" t="s">
        <v>12</v>
      </c>
      <c r="E776">
        <v>7</v>
      </c>
      <c r="F776">
        <v>150</v>
      </c>
      <c r="G776">
        <v>1050</v>
      </c>
      <c r="H776">
        <v>0.02</v>
      </c>
      <c r="I776">
        <v>21</v>
      </c>
      <c r="J776" t="s">
        <v>37</v>
      </c>
    </row>
    <row r="777" spans="1:10" x14ac:dyDescent="0.25">
      <c r="A777" t="s">
        <v>807</v>
      </c>
      <c r="B777" s="1">
        <v>43294</v>
      </c>
      <c r="C777" t="s">
        <v>11</v>
      </c>
      <c r="D777" t="s">
        <v>24</v>
      </c>
      <c r="E777">
        <v>16</v>
      </c>
      <c r="F777">
        <v>80</v>
      </c>
      <c r="G777">
        <v>1280</v>
      </c>
      <c r="H777">
        <v>0.04</v>
      </c>
      <c r="I777">
        <v>51.2</v>
      </c>
      <c r="J777" t="s">
        <v>20</v>
      </c>
    </row>
    <row r="778" spans="1:10" x14ac:dyDescent="0.25">
      <c r="A778" t="s">
        <v>808</v>
      </c>
      <c r="B778" s="1">
        <v>43294</v>
      </c>
      <c r="C778" t="s">
        <v>15</v>
      </c>
      <c r="D778" t="s">
        <v>16</v>
      </c>
      <c r="E778">
        <v>4</v>
      </c>
      <c r="F778">
        <v>40</v>
      </c>
      <c r="G778">
        <v>160</v>
      </c>
      <c r="H778">
        <v>0.12</v>
      </c>
      <c r="I778">
        <v>19.2</v>
      </c>
      <c r="J778" t="s">
        <v>37</v>
      </c>
    </row>
    <row r="779" spans="1:10" x14ac:dyDescent="0.25">
      <c r="A779" t="s">
        <v>809</v>
      </c>
      <c r="B779" s="1">
        <v>43294</v>
      </c>
      <c r="C779" t="s">
        <v>30</v>
      </c>
      <c r="D779" t="s">
        <v>12</v>
      </c>
      <c r="E779">
        <v>22</v>
      </c>
      <c r="F779">
        <v>16</v>
      </c>
      <c r="G779">
        <v>352</v>
      </c>
      <c r="H779">
        <v>0.01</v>
      </c>
      <c r="I779">
        <v>3.52</v>
      </c>
      <c r="J779" t="s">
        <v>20</v>
      </c>
    </row>
    <row r="780" spans="1:10" x14ac:dyDescent="0.25">
      <c r="A780" t="s">
        <v>810</v>
      </c>
      <c r="B780" s="1">
        <v>43294</v>
      </c>
      <c r="C780" t="s">
        <v>15</v>
      </c>
      <c r="D780" t="s">
        <v>27</v>
      </c>
      <c r="E780">
        <v>18</v>
      </c>
      <c r="F780">
        <v>40</v>
      </c>
      <c r="G780">
        <v>720</v>
      </c>
      <c r="H780">
        <v>0.06</v>
      </c>
      <c r="I780">
        <v>43.199999999999996</v>
      </c>
      <c r="J780" t="s">
        <v>37</v>
      </c>
    </row>
    <row r="781" spans="1:10" x14ac:dyDescent="0.25">
      <c r="A781" t="s">
        <v>811</v>
      </c>
      <c r="B781" s="1">
        <v>43294</v>
      </c>
      <c r="C781" t="s">
        <v>11</v>
      </c>
      <c r="D781" t="s">
        <v>24</v>
      </c>
      <c r="E781">
        <v>6</v>
      </c>
      <c r="F781">
        <v>80</v>
      </c>
      <c r="G781">
        <v>480</v>
      </c>
      <c r="H781">
        <v>0.01</v>
      </c>
      <c r="I781">
        <v>4.8</v>
      </c>
      <c r="J781" t="s">
        <v>20</v>
      </c>
    </row>
    <row r="782" spans="1:10" x14ac:dyDescent="0.25">
      <c r="A782" t="s">
        <v>812</v>
      </c>
      <c r="B782" s="1">
        <v>43294</v>
      </c>
      <c r="C782" t="s">
        <v>19</v>
      </c>
      <c r="D782" t="s">
        <v>24</v>
      </c>
      <c r="E782">
        <v>2</v>
      </c>
      <c r="F782">
        <v>230</v>
      </c>
      <c r="G782">
        <v>460</v>
      </c>
      <c r="H782">
        <v>0.09</v>
      </c>
      <c r="I782">
        <v>41.4</v>
      </c>
      <c r="J782" t="s">
        <v>37</v>
      </c>
    </row>
    <row r="783" spans="1:10" x14ac:dyDescent="0.25">
      <c r="A783" t="s">
        <v>813</v>
      </c>
      <c r="B783" s="1">
        <v>43295</v>
      </c>
      <c r="C783" t="s">
        <v>34</v>
      </c>
      <c r="D783" t="s">
        <v>31</v>
      </c>
      <c r="E783">
        <v>11</v>
      </c>
      <c r="F783">
        <v>150</v>
      </c>
      <c r="G783">
        <v>1650</v>
      </c>
      <c r="H783">
        <v>0.09</v>
      </c>
      <c r="I783">
        <v>148.5</v>
      </c>
      <c r="J783" t="s">
        <v>20</v>
      </c>
    </row>
    <row r="784" spans="1:10" x14ac:dyDescent="0.25">
      <c r="A784" t="s">
        <v>814</v>
      </c>
      <c r="B784" s="1">
        <v>43295</v>
      </c>
      <c r="C784" t="s">
        <v>34</v>
      </c>
      <c r="D784" t="s">
        <v>27</v>
      </c>
      <c r="E784">
        <v>15</v>
      </c>
      <c r="F784">
        <v>150</v>
      </c>
      <c r="G784">
        <v>2250</v>
      </c>
      <c r="H784">
        <v>0.08</v>
      </c>
      <c r="I784">
        <v>180</v>
      </c>
      <c r="J784" t="s">
        <v>37</v>
      </c>
    </row>
    <row r="785" spans="1:10" x14ac:dyDescent="0.25">
      <c r="A785" t="s">
        <v>815</v>
      </c>
      <c r="B785" s="1">
        <v>43295</v>
      </c>
      <c r="C785" t="s">
        <v>11</v>
      </c>
      <c r="D785" t="s">
        <v>12</v>
      </c>
      <c r="E785">
        <v>17</v>
      </c>
      <c r="F785">
        <v>80</v>
      </c>
      <c r="G785">
        <v>1360</v>
      </c>
      <c r="H785">
        <v>0.09</v>
      </c>
      <c r="I785">
        <v>122.39999999999999</v>
      </c>
      <c r="J785" t="s">
        <v>20</v>
      </c>
    </row>
    <row r="786" spans="1:10" x14ac:dyDescent="0.25">
      <c r="A786" t="s">
        <v>816</v>
      </c>
      <c r="B786" s="1">
        <v>43295</v>
      </c>
      <c r="C786" t="s">
        <v>34</v>
      </c>
      <c r="D786" t="s">
        <v>31</v>
      </c>
      <c r="E786">
        <v>13</v>
      </c>
      <c r="F786">
        <v>150</v>
      </c>
      <c r="G786">
        <v>1950</v>
      </c>
      <c r="H786">
        <v>0.11</v>
      </c>
      <c r="I786">
        <v>214.5</v>
      </c>
      <c r="J786" t="s">
        <v>37</v>
      </c>
    </row>
    <row r="787" spans="1:10" x14ac:dyDescent="0.25">
      <c r="A787" t="s">
        <v>817</v>
      </c>
      <c r="B787" s="1">
        <v>43295</v>
      </c>
      <c r="C787" t="s">
        <v>15</v>
      </c>
      <c r="D787" t="s">
        <v>27</v>
      </c>
      <c r="E787">
        <v>7</v>
      </c>
      <c r="F787">
        <v>40</v>
      </c>
      <c r="G787">
        <v>280</v>
      </c>
      <c r="H787">
        <v>7.0000000000000007E-2</v>
      </c>
      <c r="I787">
        <v>19.600000000000001</v>
      </c>
      <c r="J787" t="s">
        <v>20</v>
      </c>
    </row>
    <row r="788" spans="1:10" x14ac:dyDescent="0.25">
      <c r="A788" t="s">
        <v>818</v>
      </c>
      <c r="B788" s="1">
        <v>43295</v>
      </c>
      <c r="C788" t="s">
        <v>19</v>
      </c>
      <c r="D788" t="s">
        <v>27</v>
      </c>
      <c r="E788">
        <v>3</v>
      </c>
      <c r="F788">
        <v>230</v>
      </c>
      <c r="G788">
        <v>690</v>
      </c>
      <c r="H788">
        <v>0.01</v>
      </c>
      <c r="I788">
        <v>6.9</v>
      </c>
      <c r="J788" t="s">
        <v>37</v>
      </c>
    </row>
    <row r="789" spans="1:10" x14ac:dyDescent="0.25">
      <c r="A789" t="s">
        <v>819</v>
      </c>
      <c r="B789" s="1">
        <v>43295</v>
      </c>
      <c r="C789" t="s">
        <v>15</v>
      </c>
      <c r="D789" t="s">
        <v>24</v>
      </c>
      <c r="E789">
        <v>12</v>
      </c>
      <c r="F789">
        <v>40</v>
      </c>
      <c r="G789">
        <v>480</v>
      </c>
      <c r="H789">
        <v>0.02</v>
      </c>
      <c r="I789">
        <v>9.6</v>
      </c>
      <c r="J789" t="s">
        <v>20</v>
      </c>
    </row>
    <row r="790" spans="1:10" x14ac:dyDescent="0.25">
      <c r="A790" t="s">
        <v>820</v>
      </c>
      <c r="B790" s="1">
        <v>43295</v>
      </c>
      <c r="C790" t="s">
        <v>34</v>
      </c>
      <c r="D790" t="s">
        <v>24</v>
      </c>
      <c r="E790">
        <v>11</v>
      </c>
      <c r="F790">
        <v>150</v>
      </c>
      <c r="G790">
        <v>1650</v>
      </c>
      <c r="H790">
        <v>0.11</v>
      </c>
      <c r="I790">
        <v>181.5</v>
      </c>
      <c r="J790" t="s">
        <v>37</v>
      </c>
    </row>
    <row r="791" spans="1:10" x14ac:dyDescent="0.25">
      <c r="A791" t="s">
        <v>821</v>
      </c>
      <c r="B791" s="1">
        <v>43295</v>
      </c>
      <c r="C791" t="s">
        <v>15</v>
      </c>
      <c r="D791" t="s">
        <v>16</v>
      </c>
      <c r="E791">
        <v>21</v>
      </c>
      <c r="F791">
        <v>40</v>
      </c>
      <c r="G791">
        <v>840</v>
      </c>
      <c r="H791">
        <v>0.03</v>
      </c>
      <c r="I791">
        <v>25.2</v>
      </c>
      <c r="J791" t="s">
        <v>20</v>
      </c>
    </row>
    <row r="792" spans="1:10" x14ac:dyDescent="0.25">
      <c r="A792" t="s">
        <v>822</v>
      </c>
      <c r="B792" s="1">
        <v>43295</v>
      </c>
      <c r="C792" t="s">
        <v>34</v>
      </c>
      <c r="D792" t="s">
        <v>12</v>
      </c>
      <c r="E792">
        <v>22</v>
      </c>
      <c r="F792">
        <v>150</v>
      </c>
      <c r="G792">
        <v>3300</v>
      </c>
      <c r="H792">
        <v>7.0000000000000007E-2</v>
      </c>
      <c r="I792">
        <v>231.00000000000003</v>
      </c>
      <c r="J792" t="s">
        <v>37</v>
      </c>
    </row>
    <row r="793" spans="1:10" x14ac:dyDescent="0.25">
      <c r="A793" t="s">
        <v>823</v>
      </c>
      <c r="B793" s="1">
        <v>43295</v>
      </c>
      <c r="C793" t="s">
        <v>15</v>
      </c>
      <c r="D793" t="s">
        <v>24</v>
      </c>
      <c r="E793">
        <v>20</v>
      </c>
      <c r="F793">
        <v>40</v>
      </c>
      <c r="G793">
        <v>800</v>
      </c>
      <c r="H793">
        <v>0.01</v>
      </c>
      <c r="I793">
        <v>8</v>
      </c>
      <c r="J793" t="s">
        <v>20</v>
      </c>
    </row>
    <row r="794" spans="1:10" x14ac:dyDescent="0.25">
      <c r="A794" t="s">
        <v>824</v>
      </c>
      <c r="B794" s="1">
        <v>43296</v>
      </c>
      <c r="C794" t="s">
        <v>30</v>
      </c>
      <c r="D794" t="s">
        <v>31</v>
      </c>
      <c r="E794">
        <v>22</v>
      </c>
      <c r="F794">
        <v>16</v>
      </c>
      <c r="G794">
        <v>352</v>
      </c>
      <c r="H794">
        <v>0.12</v>
      </c>
      <c r="I794">
        <v>42.239999999999995</v>
      </c>
      <c r="J794" t="s">
        <v>37</v>
      </c>
    </row>
    <row r="795" spans="1:10" x14ac:dyDescent="0.25">
      <c r="A795" t="s">
        <v>825</v>
      </c>
      <c r="B795" s="1">
        <v>43296</v>
      </c>
      <c r="C795" t="s">
        <v>15</v>
      </c>
      <c r="D795" t="s">
        <v>24</v>
      </c>
      <c r="E795">
        <v>4</v>
      </c>
      <c r="F795">
        <v>40</v>
      </c>
      <c r="G795">
        <v>160</v>
      </c>
      <c r="H795">
        <v>0.1</v>
      </c>
      <c r="I795">
        <v>16</v>
      </c>
      <c r="J795" t="s">
        <v>20</v>
      </c>
    </row>
    <row r="796" spans="1:10" x14ac:dyDescent="0.25">
      <c r="A796" t="s">
        <v>826</v>
      </c>
      <c r="B796" s="1">
        <v>43296</v>
      </c>
      <c r="C796" t="s">
        <v>19</v>
      </c>
      <c r="D796" t="s">
        <v>27</v>
      </c>
      <c r="E796">
        <v>2</v>
      </c>
      <c r="F796">
        <v>230</v>
      </c>
      <c r="G796">
        <v>460</v>
      </c>
      <c r="H796">
        <v>0.09</v>
      </c>
      <c r="I796">
        <v>41.4</v>
      </c>
      <c r="J796" t="s">
        <v>37</v>
      </c>
    </row>
    <row r="797" spans="1:10" x14ac:dyDescent="0.25">
      <c r="A797" t="s">
        <v>827</v>
      </c>
      <c r="B797" s="1">
        <v>43296</v>
      </c>
      <c r="C797" t="s">
        <v>15</v>
      </c>
      <c r="D797" t="s">
        <v>12</v>
      </c>
      <c r="E797">
        <v>22</v>
      </c>
      <c r="F797">
        <v>40</v>
      </c>
      <c r="G797">
        <v>880</v>
      </c>
      <c r="H797">
        <v>0.02</v>
      </c>
      <c r="I797">
        <v>17.600000000000001</v>
      </c>
      <c r="J797" t="s">
        <v>20</v>
      </c>
    </row>
    <row r="798" spans="1:10" x14ac:dyDescent="0.25">
      <c r="A798" t="s">
        <v>828</v>
      </c>
      <c r="B798" s="1">
        <v>43296</v>
      </c>
      <c r="C798" t="s">
        <v>15</v>
      </c>
      <c r="D798" t="s">
        <v>16</v>
      </c>
      <c r="E798">
        <v>4</v>
      </c>
      <c r="F798">
        <v>40</v>
      </c>
      <c r="G798">
        <v>160</v>
      </c>
      <c r="H798">
        <v>0.03</v>
      </c>
      <c r="I798">
        <v>4.8</v>
      </c>
      <c r="J798" t="s">
        <v>37</v>
      </c>
    </row>
    <row r="799" spans="1:10" x14ac:dyDescent="0.25">
      <c r="A799" t="s">
        <v>829</v>
      </c>
      <c r="B799" s="1">
        <v>43296</v>
      </c>
      <c r="C799" t="s">
        <v>30</v>
      </c>
      <c r="D799" t="s">
        <v>16</v>
      </c>
      <c r="E799">
        <v>5</v>
      </c>
      <c r="F799">
        <v>16</v>
      </c>
      <c r="G799">
        <v>80</v>
      </c>
      <c r="H799">
        <v>0.11</v>
      </c>
      <c r="I799">
        <v>8.8000000000000007</v>
      </c>
      <c r="J799" t="s">
        <v>20</v>
      </c>
    </row>
    <row r="800" spans="1:10" x14ac:dyDescent="0.25">
      <c r="A800" t="s">
        <v>830</v>
      </c>
      <c r="B800" s="1">
        <v>43296</v>
      </c>
      <c r="C800" t="s">
        <v>11</v>
      </c>
      <c r="D800" t="s">
        <v>27</v>
      </c>
      <c r="E800">
        <v>2</v>
      </c>
      <c r="F800">
        <v>80</v>
      </c>
      <c r="G800">
        <v>160</v>
      </c>
      <c r="H800">
        <v>0.08</v>
      </c>
      <c r="I800">
        <v>12.8</v>
      </c>
      <c r="J800" t="s">
        <v>37</v>
      </c>
    </row>
    <row r="801" spans="1:10" x14ac:dyDescent="0.25">
      <c r="A801" t="s">
        <v>831</v>
      </c>
      <c r="B801" s="1">
        <v>43296</v>
      </c>
      <c r="C801" t="s">
        <v>30</v>
      </c>
      <c r="D801" t="s">
        <v>24</v>
      </c>
      <c r="E801">
        <v>9</v>
      </c>
      <c r="F801">
        <v>16</v>
      </c>
      <c r="G801">
        <v>144</v>
      </c>
      <c r="H801">
        <v>0.05</v>
      </c>
      <c r="I801">
        <v>7.2</v>
      </c>
      <c r="J801" t="s">
        <v>20</v>
      </c>
    </row>
    <row r="802" spans="1:10" x14ac:dyDescent="0.25">
      <c r="A802" t="s">
        <v>832</v>
      </c>
      <c r="B802" s="1">
        <v>43296</v>
      </c>
      <c r="C802" t="s">
        <v>19</v>
      </c>
      <c r="D802" t="s">
        <v>24</v>
      </c>
      <c r="E802">
        <v>6</v>
      </c>
      <c r="F802">
        <v>230</v>
      </c>
      <c r="G802">
        <v>1380</v>
      </c>
      <c r="H802">
        <v>0.05</v>
      </c>
      <c r="I802">
        <v>69</v>
      </c>
      <c r="J802" t="s">
        <v>37</v>
      </c>
    </row>
    <row r="803" spans="1:10" x14ac:dyDescent="0.25">
      <c r="A803" t="s">
        <v>833</v>
      </c>
      <c r="B803" s="1">
        <v>43296</v>
      </c>
      <c r="C803" t="s">
        <v>34</v>
      </c>
      <c r="D803" t="s">
        <v>27</v>
      </c>
      <c r="E803">
        <v>22</v>
      </c>
      <c r="F803">
        <v>150</v>
      </c>
      <c r="G803">
        <v>3300</v>
      </c>
      <c r="H803">
        <v>0.05</v>
      </c>
      <c r="I803">
        <v>165</v>
      </c>
      <c r="J803" t="s">
        <v>20</v>
      </c>
    </row>
    <row r="804" spans="1:10" x14ac:dyDescent="0.25">
      <c r="A804" t="s">
        <v>834</v>
      </c>
      <c r="B804" s="1">
        <v>43297</v>
      </c>
      <c r="C804" t="s">
        <v>19</v>
      </c>
      <c r="D804" t="s">
        <v>27</v>
      </c>
      <c r="E804">
        <v>8</v>
      </c>
      <c r="F804">
        <v>230</v>
      </c>
      <c r="G804">
        <v>1840</v>
      </c>
      <c r="H804">
        <v>0.01</v>
      </c>
      <c r="I804">
        <v>18.400000000000002</v>
      </c>
      <c r="J804" t="s">
        <v>37</v>
      </c>
    </row>
    <row r="805" spans="1:10" x14ac:dyDescent="0.25">
      <c r="A805" t="s">
        <v>835</v>
      </c>
      <c r="B805" s="1">
        <v>43297</v>
      </c>
      <c r="C805" t="s">
        <v>34</v>
      </c>
      <c r="D805" t="s">
        <v>12</v>
      </c>
      <c r="E805">
        <v>22</v>
      </c>
      <c r="F805">
        <v>150</v>
      </c>
      <c r="G805">
        <v>3300</v>
      </c>
      <c r="H805">
        <v>0.05</v>
      </c>
      <c r="I805">
        <v>165</v>
      </c>
      <c r="J805" t="s">
        <v>20</v>
      </c>
    </row>
    <row r="806" spans="1:10" x14ac:dyDescent="0.25">
      <c r="A806" t="s">
        <v>836</v>
      </c>
      <c r="B806" s="1">
        <v>43297</v>
      </c>
      <c r="C806" t="s">
        <v>15</v>
      </c>
      <c r="D806" t="s">
        <v>12</v>
      </c>
      <c r="E806">
        <v>5</v>
      </c>
      <c r="F806">
        <v>40</v>
      </c>
      <c r="G806">
        <v>200</v>
      </c>
      <c r="H806">
        <v>0.06</v>
      </c>
      <c r="I806">
        <v>12</v>
      </c>
      <c r="J806" t="s">
        <v>37</v>
      </c>
    </row>
    <row r="807" spans="1:10" x14ac:dyDescent="0.25">
      <c r="A807" t="s">
        <v>837</v>
      </c>
      <c r="B807" s="1">
        <v>43297</v>
      </c>
      <c r="C807" t="s">
        <v>34</v>
      </c>
      <c r="D807" t="s">
        <v>27</v>
      </c>
      <c r="E807">
        <v>20</v>
      </c>
      <c r="F807">
        <v>150</v>
      </c>
      <c r="G807">
        <v>3000</v>
      </c>
      <c r="H807">
        <v>0.1</v>
      </c>
      <c r="I807">
        <v>300</v>
      </c>
      <c r="J807" t="s">
        <v>20</v>
      </c>
    </row>
    <row r="808" spans="1:10" x14ac:dyDescent="0.25">
      <c r="A808" t="s">
        <v>838</v>
      </c>
      <c r="B808" s="1">
        <v>43297</v>
      </c>
      <c r="C808" t="s">
        <v>11</v>
      </c>
      <c r="D808" t="s">
        <v>27</v>
      </c>
      <c r="E808">
        <v>22</v>
      </c>
      <c r="F808">
        <v>80</v>
      </c>
      <c r="G808">
        <v>1760</v>
      </c>
      <c r="H808">
        <v>0.03</v>
      </c>
      <c r="I808">
        <v>52.8</v>
      </c>
      <c r="J808" t="s">
        <v>37</v>
      </c>
    </row>
    <row r="809" spans="1:10" x14ac:dyDescent="0.25">
      <c r="A809" t="s">
        <v>839</v>
      </c>
      <c r="B809" s="1">
        <v>43297</v>
      </c>
      <c r="C809" t="s">
        <v>30</v>
      </c>
      <c r="D809" t="s">
        <v>12</v>
      </c>
      <c r="E809">
        <v>11</v>
      </c>
      <c r="F809">
        <v>16</v>
      </c>
      <c r="G809">
        <v>176</v>
      </c>
      <c r="H809">
        <v>0.09</v>
      </c>
      <c r="I809">
        <v>15.84</v>
      </c>
      <c r="J809" t="s">
        <v>20</v>
      </c>
    </row>
    <row r="810" spans="1:10" x14ac:dyDescent="0.25">
      <c r="A810" t="s">
        <v>840</v>
      </c>
      <c r="B810" s="1">
        <v>43297</v>
      </c>
      <c r="C810" t="s">
        <v>30</v>
      </c>
      <c r="D810" t="s">
        <v>16</v>
      </c>
      <c r="E810">
        <v>22</v>
      </c>
      <c r="F810">
        <v>16</v>
      </c>
      <c r="G810">
        <v>352</v>
      </c>
      <c r="H810">
        <v>0.01</v>
      </c>
      <c r="I810">
        <v>3.52</v>
      </c>
      <c r="J810" t="s">
        <v>37</v>
      </c>
    </row>
    <row r="811" spans="1:10" x14ac:dyDescent="0.25">
      <c r="A811" t="s">
        <v>841</v>
      </c>
      <c r="B811" s="1">
        <v>43297</v>
      </c>
      <c r="C811" t="s">
        <v>15</v>
      </c>
      <c r="D811" t="s">
        <v>16</v>
      </c>
      <c r="E811">
        <v>23</v>
      </c>
      <c r="F811">
        <v>40</v>
      </c>
      <c r="G811">
        <v>920</v>
      </c>
      <c r="H811">
        <v>0.06</v>
      </c>
      <c r="I811">
        <v>55.199999999999996</v>
      </c>
      <c r="J811" t="s">
        <v>20</v>
      </c>
    </row>
    <row r="812" spans="1:10" x14ac:dyDescent="0.25">
      <c r="A812" t="s">
        <v>842</v>
      </c>
      <c r="B812" s="1">
        <v>43297</v>
      </c>
      <c r="C812" t="s">
        <v>11</v>
      </c>
      <c r="D812" t="s">
        <v>24</v>
      </c>
      <c r="E812">
        <v>14</v>
      </c>
      <c r="F812">
        <v>80</v>
      </c>
      <c r="G812">
        <v>1120</v>
      </c>
      <c r="H812">
        <v>0.1</v>
      </c>
      <c r="I812">
        <v>112</v>
      </c>
      <c r="J812" t="s">
        <v>37</v>
      </c>
    </row>
    <row r="813" spans="1:10" x14ac:dyDescent="0.25">
      <c r="A813" t="s">
        <v>843</v>
      </c>
      <c r="B813" s="1">
        <v>43297</v>
      </c>
      <c r="C813" t="s">
        <v>15</v>
      </c>
      <c r="D813" t="s">
        <v>12</v>
      </c>
      <c r="E813">
        <v>18</v>
      </c>
      <c r="F813">
        <v>40</v>
      </c>
      <c r="G813">
        <v>720</v>
      </c>
      <c r="H813">
        <v>0.06</v>
      </c>
      <c r="I813">
        <v>43.199999999999996</v>
      </c>
      <c r="J813" t="s">
        <v>20</v>
      </c>
    </row>
    <row r="814" spans="1:10" x14ac:dyDescent="0.25">
      <c r="A814" t="s">
        <v>844</v>
      </c>
      <c r="B814" s="1">
        <v>43298</v>
      </c>
      <c r="C814" t="s">
        <v>34</v>
      </c>
      <c r="D814" t="s">
        <v>27</v>
      </c>
      <c r="E814">
        <v>7</v>
      </c>
      <c r="F814">
        <v>150</v>
      </c>
      <c r="G814">
        <v>1050</v>
      </c>
      <c r="H814">
        <v>0.05</v>
      </c>
      <c r="I814">
        <v>52.5</v>
      </c>
      <c r="J814" t="s">
        <v>17</v>
      </c>
    </row>
    <row r="815" spans="1:10" x14ac:dyDescent="0.25">
      <c r="A815" t="s">
        <v>845</v>
      </c>
      <c r="B815" s="1">
        <v>43298</v>
      </c>
      <c r="C815" t="s">
        <v>15</v>
      </c>
      <c r="D815" t="s">
        <v>27</v>
      </c>
      <c r="E815">
        <v>15</v>
      </c>
      <c r="F815">
        <v>40</v>
      </c>
      <c r="G815">
        <v>600</v>
      </c>
      <c r="H815">
        <v>0.03</v>
      </c>
      <c r="I815">
        <v>18</v>
      </c>
      <c r="J815" t="s">
        <v>20</v>
      </c>
    </row>
    <row r="816" spans="1:10" x14ac:dyDescent="0.25">
      <c r="A816" t="s">
        <v>846</v>
      </c>
      <c r="B816" s="1">
        <v>43298</v>
      </c>
      <c r="C816" t="s">
        <v>30</v>
      </c>
      <c r="D816" t="s">
        <v>12</v>
      </c>
      <c r="E816">
        <v>7</v>
      </c>
      <c r="F816">
        <v>16</v>
      </c>
      <c r="G816">
        <v>112</v>
      </c>
      <c r="H816">
        <v>0.02</v>
      </c>
      <c r="I816">
        <v>2.2400000000000002</v>
      </c>
      <c r="J816" t="s">
        <v>22</v>
      </c>
    </row>
    <row r="817" spans="1:10" x14ac:dyDescent="0.25">
      <c r="A817" t="s">
        <v>847</v>
      </c>
      <c r="B817" s="1">
        <v>43298</v>
      </c>
      <c r="C817" t="s">
        <v>30</v>
      </c>
      <c r="D817" t="s">
        <v>27</v>
      </c>
      <c r="E817">
        <v>15</v>
      </c>
      <c r="F817">
        <v>16</v>
      </c>
      <c r="G817">
        <v>240</v>
      </c>
      <c r="H817">
        <v>0.12</v>
      </c>
      <c r="I817">
        <v>28.799999999999997</v>
      </c>
      <c r="J817" t="s">
        <v>25</v>
      </c>
    </row>
    <row r="818" spans="1:10" x14ac:dyDescent="0.25">
      <c r="A818" t="s">
        <v>848</v>
      </c>
      <c r="B818" s="1">
        <v>43298</v>
      </c>
      <c r="C818" t="s">
        <v>15</v>
      </c>
      <c r="D818" t="s">
        <v>12</v>
      </c>
      <c r="E818">
        <v>5</v>
      </c>
      <c r="F818">
        <v>40</v>
      </c>
      <c r="G818">
        <v>200</v>
      </c>
      <c r="H818">
        <v>0.09</v>
      </c>
      <c r="I818">
        <v>18</v>
      </c>
      <c r="J818" t="s">
        <v>28</v>
      </c>
    </row>
    <row r="819" spans="1:10" x14ac:dyDescent="0.25">
      <c r="A819" t="s">
        <v>849</v>
      </c>
      <c r="B819" s="1">
        <v>43298</v>
      </c>
      <c r="C819" t="s">
        <v>15</v>
      </c>
      <c r="D819" t="s">
        <v>31</v>
      </c>
      <c r="E819">
        <v>20</v>
      </c>
      <c r="F819">
        <v>40</v>
      </c>
      <c r="G819">
        <v>800</v>
      </c>
      <c r="H819">
        <v>0.03</v>
      </c>
      <c r="I819">
        <v>24</v>
      </c>
      <c r="J819" t="s">
        <v>32</v>
      </c>
    </row>
    <row r="820" spans="1:10" x14ac:dyDescent="0.25">
      <c r="A820" t="s">
        <v>850</v>
      </c>
      <c r="B820" s="1">
        <v>43298</v>
      </c>
      <c r="C820" t="s">
        <v>19</v>
      </c>
      <c r="D820" t="s">
        <v>27</v>
      </c>
      <c r="E820">
        <v>11</v>
      </c>
      <c r="F820">
        <v>230</v>
      </c>
      <c r="G820">
        <v>2530</v>
      </c>
      <c r="H820">
        <v>0.12</v>
      </c>
      <c r="I820">
        <v>303.59999999999997</v>
      </c>
      <c r="J820" t="s">
        <v>35</v>
      </c>
    </row>
    <row r="821" spans="1:10" x14ac:dyDescent="0.25">
      <c r="A821" t="s">
        <v>851</v>
      </c>
      <c r="B821" s="1">
        <v>43298</v>
      </c>
      <c r="C821" t="s">
        <v>30</v>
      </c>
      <c r="D821" t="s">
        <v>31</v>
      </c>
      <c r="E821">
        <v>17</v>
      </c>
      <c r="F821">
        <v>16</v>
      </c>
      <c r="G821">
        <v>272</v>
      </c>
      <c r="H821">
        <v>0.08</v>
      </c>
      <c r="I821">
        <v>21.76</v>
      </c>
      <c r="J821" t="s">
        <v>37</v>
      </c>
    </row>
    <row r="822" spans="1:10" x14ac:dyDescent="0.25">
      <c r="A822" t="s">
        <v>852</v>
      </c>
      <c r="B822" s="1">
        <v>43299</v>
      </c>
      <c r="C822" t="s">
        <v>30</v>
      </c>
      <c r="D822" t="s">
        <v>12</v>
      </c>
      <c r="E822">
        <v>18</v>
      </c>
      <c r="F822">
        <v>16</v>
      </c>
      <c r="G822">
        <v>288</v>
      </c>
      <c r="H822">
        <v>0.11</v>
      </c>
      <c r="I822">
        <v>31.68</v>
      </c>
      <c r="J822" t="s">
        <v>39</v>
      </c>
    </row>
    <row r="823" spans="1:10" x14ac:dyDescent="0.25">
      <c r="A823" t="s">
        <v>853</v>
      </c>
      <c r="B823" s="1">
        <v>43299</v>
      </c>
      <c r="C823" t="s">
        <v>19</v>
      </c>
      <c r="D823" t="s">
        <v>27</v>
      </c>
      <c r="E823">
        <v>2</v>
      </c>
      <c r="F823">
        <v>230</v>
      </c>
      <c r="G823">
        <v>460</v>
      </c>
      <c r="H823">
        <v>0.08</v>
      </c>
      <c r="I823">
        <v>36.800000000000004</v>
      </c>
      <c r="J823" t="s">
        <v>41</v>
      </c>
    </row>
    <row r="824" spans="1:10" x14ac:dyDescent="0.25">
      <c r="A824" t="s">
        <v>854</v>
      </c>
      <c r="B824" s="1">
        <v>43299</v>
      </c>
      <c r="C824" t="s">
        <v>30</v>
      </c>
      <c r="D824" t="s">
        <v>24</v>
      </c>
      <c r="E824">
        <v>17</v>
      </c>
      <c r="F824">
        <v>16</v>
      </c>
      <c r="G824">
        <v>272</v>
      </c>
      <c r="H824">
        <v>0.05</v>
      </c>
      <c r="I824">
        <v>13.600000000000001</v>
      </c>
      <c r="J824" t="s">
        <v>43</v>
      </c>
    </row>
    <row r="825" spans="1:10" x14ac:dyDescent="0.25">
      <c r="A825" t="s">
        <v>855</v>
      </c>
      <c r="B825" s="1">
        <v>43299</v>
      </c>
      <c r="C825" t="s">
        <v>11</v>
      </c>
      <c r="D825" t="s">
        <v>27</v>
      </c>
      <c r="E825">
        <v>16</v>
      </c>
      <c r="F825">
        <v>80</v>
      </c>
      <c r="G825">
        <v>1280</v>
      </c>
      <c r="H825">
        <v>0.05</v>
      </c>
      <c r="I825">
        <v>64</v>
      </c>
      <c r="J825" t="s">
        <v>13</v>
      </c>
    </row>
    <row r="826" spans="1:10" x14ac:dyDescent="0.25">
      <c r="A826" t="s">
        <v>856</v>
      </c>
      <c r="B826" s="1">
        <v>43299</v>
      </c>
      <c r="C826" t="s">
        <v>19</v>
      </c>
      <c r="D826" t="s">
        <v>16</v>
      </c>
      <c r="E826">
        <v>14</v>
      </c>
      <c r="F826">
        <v>230</v>
      </c>
      <c r="G826">
        <v>3220</v>
      </c>
      <c r="H826">
        <v>0.05</v>
      </c>
      <c r="I826">
        <v>161</v>
      </c>
      <c r="J826" t="s">
        <v>17</v>
      </c>
    </row>
    <row r="827" spans="1:10" x14ac:dyDescent="0.25">
      <c r="A827" t="s">
        <v>857</v>
      </c>
      <c r="B827" s="1">
        <v>43299</v>
      </c>
      <c r="C827" t="s">
        <v>15</v>
      </c>
      <c r="D827" t="s">
        <v>24</v>
      </c>
      <c r="E827">
        <v>13</v>
      </c>
      <c r="F827">
        <v>40</v>
      </c>
      <c r="G827">
        <v>520</v>
      </c>
      <c r="H827">
        <v>0.02</v>
      </c>
      <c r="I827">
        <v>10.4</v>
      </c>
      <c r="J827" t="s">
        <v>20</v>
      </c>
    </row>
    <row r="828" spans="1:10" x14ac:dyDescent="0.25">
      <c r="A828" t="s">
        <v>858</v>
      </c>
      <c r="B828" s="1">
        <v>43299</v>
      </c>
      <c r="C828" t="s">
        <v>19</v>
      </c>
      <c r="D828" t="s">
        <v>16</v>
      </c>
      <c r="E828">
        <v>7</v>
      </c>
      <c r="F828">
        <v>230</v>
      </c>
      <c r="G828">
        <v>1610</v>
      </c>
      <c r="H828">
        <v>0.08</v>
      </c>
      <c r="I828">
        <v>128.80000000000001</v>
      </c>
      <c r="J828" t="s">
        <v>22</v>
      </c>
    </row>
    <row r="829" spans="1:10" x14ac:dyDescent="0.25">
      <c r="A829" t="s">
        <v>859</v>
      </c>
      <c r="B829" s="1">
        <v>43299</v>
      </c>
      <c r="C829" t="s">
        <v>15</v>
      </c>
      <c r="D829" t="s">
        <v>27</v>
      </c>
      <c r="E829">
        <v>7</v>
      </c>
      <c r="F829">
        <v>40</v>
      </c>
      <c r="G829">
        <v>280</v>
      </c>
      <c r="H829">
        <v>0.11</v>
      </c>
      <c r="I829">
        <v>30.8</v>
      </c>
      <c r="J829" t="s">
        <v>25</v>
      </c>
    </row>
    <row r="830" spans="1:10" x14ac:dyDescent="0.25">
      <c r="A830" t="s">
        <v>860</v>
      </c>
      <c r="B830" s="1">
        <v>43299</v>
      </c>
      <c r="C830" t="s">
        <v>19</v>
      </c>
      <c r="D830" t="s">
        <v>24</v>
      </c>
      <c r="E830">
        <v>12</v>
      </c>
      <c r="F830">
        <v>230</v>
      </c>
      <c r="G830">
        <v>2760</v>
      </c>
      <c r="H830">
        <v>0.06</v>
      </c>
      <c r="I830">
        <v>165.6</v>
      </c>
      <c r="J830" t="s">
        <v>28</v>
      </c>
    </row>
    <row r="831" spans="1:10" x14ac:dyDescent="0.25">
      <c r="A831" t="s">
        <v>861</v>
      </c>
      <c r="B831" s="1">
        <v>43299</v>
      </c>
      <c r="C831" t="s">
        <v>15</v>
      </c>
      <c r="D831" t="s">
        <v>12</v>
      </c>
      <c r="E831">
        <v>19</v>
      </c>
      <c r="F831">
        <v>40</v>
      </c>
      <c r="G831">
        <v>760</v>
      </c>
      <c r="H831">
        <v>0.04</v>
      </c>
      <c r="I831">
        <v>30.400000000000002</v>
      </c>
      <c r="J831" t="s">
        <v>17</v>
      </c>
    </row>
    <row r="832" spans="1:10" x14ac:dyDescent="0.25">
      <c r="A832" t="s">
        <v>862</v>
      </c>
      <c r="B832" s="1">
        <v>43300</v>
      </c>
      <c r="C832" t="s">
        <v>19</v>
      </c>
      <c r="D832" t="s">
        <v>24</v>
      </c>
      <c r="E832">
        <v>20</v>
      </c>
      <c r="F832">
        <v>230</v>
      </c>
      <c r="G832">
        <v>4600</v>
      </c>
      <c r="H832">
        <v>0.06</v>
      </c>
      <c r="I832">
        <v>276</v>
      </c>
      <c r="J832" t="s">
        <v>20</v>
      </c>
    </row>
    <row r="833" spans="1:10" x14ac:dyDescent="0.25">
      <c r="A833" t="s">
        <v>863</v>
      </c>
      <c r="B833" s="1">
        <v>43300</v>
      </c>
      <c r="C833" t="s">
        <v>15</v>
      </c>
      <c r="D833" t="s">
        <v>31</v>
      </c>
      <c r="E833">
        <v>23</v>
      </c>
      <c r="F833">
        <v>40</v>
      </c>
      <c r="G833">
        <v>920</v>
      </c>
      <c r="H833">
        <v>0.04</v>
      </c>
      <c r="I833">
        <v>36.800000000000004</v>
      </c>
      <c r="J833" t="s">
        <v>22</v>
      </c>
    </row>
    <row r="834" spans="1:10" x14ac:dyDescent="0.25">
      <c r="A834" t="s">
        <v>864</v>
      </c>
      <c r="B834" s="1">
        <v>43300</v>
      </c>
      <c r="C834" t="s">
        <v>11</v>
      </c>
      <c r="D834" t="s">
        <v>31</v>
      </c>
      <c r="E834">
        <v>16</v>
      </c>
      <c r="F834">
        <v>80</v>
      </c>
      <c r="G834">
        <v>1280</v>
      </c>
      <c r="H834">
        <v>0.05</v>
      </c>
      <c r="I834">
        <v>64</v>
      </c>
      <c r="J834" t="s">
        <v>25</v>
      </c>
    </row>
    <row r="835" spans="1:10" x14ac:dyDescent="0.25">
      <c r="A835" t="s">
        <v>865</v>
      </c>
      <c r="B835" s="1">
        <v>43300</v>
      </c>
      <c r="C835" t="s">
        <v>34</v>
      </c>
      <c r="D835" t="s">
        <v>16</v>
      </c>
      <c r="E835">
        <v>23</v>
      </c>
      <c r="F835">
        <v>150</v>
      </c>
      <c r="G835">
        <v>3450</v>
      </c>
      <c r="H835">
        <v>0.11</v>
      </c>
      <c r="I835">
        <v>379.5</v>
      </c>
      <c r="J835" t="s">
        <v>28</v>
      </c>
    </row>
    <row r="836" spans="1:10" x14ac:dyDescent="0.25">
      <c r="A836" t="s">
        <v>866</v>
      </c>
      <c r="B836" s="1">
        <v>43300</v>
      </c>
      <c r="C836" t="s">
        <v>30</v>
      </c>
      <c r="D836" t="s">
        <v>16</v>
      </c>
      <c r="E836">
        <v>4</v>
      </c>
      <c r="F836">
        <v>16</v>
      </c>
      <c r="G836">
        <v>64</v>
      </c>
      <c r="H836">
        <v>7.0000000000000007E-2</v>
      </c>
      <c r="I836">
        <v>4.4800000000000004</v>
      </c>
      <c r="J836" t="s">
        <v>32</v>
      </c>
    </row>
    <row r="837" spans="1:10" x14ac:dyDescent="0.25">
      <c r="A837" t="s">
        <v>867</v>
      </c>
      <c r="B837" s="1">
        <v>43300</v>
      </c>
      <c r="C837" t="s">
        <v>19</v>
      </c>
      <c r="D837" t="s">
        <v>12</v>
      </c>
      <c r="E837">
        <v>8</v>
      </c>
      <c r="F837">
        <v>230</v>
      </c>
      <c r="G837">
        <v>1840</v>
      </c>
      <c r="H837">
        <v>0.03</v>
      </c>
      <c r="I837">
        <v>55.199999999999996</v>
      </c>
      <c r="J837" t="s">
        <v>35</v>
      </c>
    </row>
    <row r="838" spans="1:10" x14ac:dyDescent="0.25">
      <c r="A838" t="s">
        <v>868</v>
      </c>
      <c r="B838" s="1">
        <v>43300</v>
      </c>
      <c r="C838" t="s">
        <v>11</v>
      </c>
      <c r="D838" t="s">
        <v>16</v>
      </c>
      <c r="E838">
        <v>17</v>
      </c>
      <c r="F838">
        <v>80</v>
      </c>
      <c r="G838">
        <v>1360</v>
      </c>
      <c r="H838">
        <v>0.03</v>
      </c>
      <c r="I838">
        <v>40.799999999999997</v>
      </c>
      <c r="J838" t="s">
        <v>37</v>
      </c>
    </row>
    <row r="839" spans="1:10" x14ac:dyDescent="0.25">
      <c r="A839" t="s">
        <v>869</v>
      </c>
      <c r="B839" s="1">
        <v>43300</v>
      </c>
      <c r="C839" t="s">
        <v>11</v>
      </c>
      <c r="D839" t="s">
        <v>27</v>
      </c>
      <c r="E839">
        <v>10</v>
      </c>
      <c r="F839">
        <v>80</v>
      </c>
      <c r="G839">
        <v>800</v>
      </c>
      <c r="H839">
        <v>0.1</v>
      </c>
      <c r="I839">
        <v>80</v>
      </c>
      <c r="J839" t="s">
        <v>39</v>
      </c>
    </row>
    <row r="840" spans="1:10" x14ac:dyDescent="0.25">
      <c r="A840" t="s">
        <v>870</v>
      </c>
      <c r="B840" s="1">
        <v>43300</v>
      </c>
      <c r="C840" t="s">
        <v>30</v>
      </c>
      <c r="D840" t="s">
        <v>12</v>
      </c>
      <c r="E840">
        <v>20</v>
      </c>
      <c r="F840">
        <v>16</v>
      </c>
      <c r="G840">
        <v>320</v>
      </c>
      <c r="H840">
        <v>0.11</v>
      </c>
      <c r="I840">
        <v>35.200000000000003</v>
      </c>
      <c r="J840" t="s">
        <v>41</v>
      </c>
    </row>
    <row r="841" spans="1:10" x14ac:dyDescent="0.25">
      <c r="A841" t="s">
        <v>871</v>
      </c>
      <c r="B841" s="1">
        <v>43301</v>
      </c>
      <c r="C841" t="s">
        <v>19</v>
      </c>
      <c r="D841" t="s">
        <v>27</v>
      </c>
      <c r="E841">
        <v>19</v>
      </c>
      <c r="F841">
        <v>230</v>
      </c>
      <c r="G841">
        <v>4370</v>
      </c>
      <c r="H841">
        <v>0.06</v>
      </c>
      <c r="I841">
        <v>262.2</v>
      </c>
      <c r="J841" t="s">
        <v>43</v>
      </c>
    </row>
    <row r="842" spans="1:10" x14ac:dyDescent="0.25">
      <c r="A842" t="s">
        <v>872</v>
      </c>
      <c r="B842" s="1">
        <v>43301</v>
      </c>
      <c r="C842" t="s">
        <v>15</v>
      </c>
      <c r="D842" t="s">
        <v>24</v>
      </c>
      <c r="E842">
        <v>18</v>
      </c>
      <c r="F842">
        <v>40</v>
      </c>
      <c r="G842">
        <v>720</v>
      </c>
      <c r="H842">
        <v>0.03</v>
      </c>
      <c r="I842">
        <v>21.599999999999998</v>
      </c>
      <c r="J842" t="s">
        <v>13</v>
      </c>
    </row>
    <row r="843" spans="1:10" x14ac:dyDescent="0.25">
      <c r="A843" t="s">
        <v>873</v>
      </c>
      <c r="B843" s="1">
        <v>43301</v>
      </c>
      <c r="C843" t="s">
        <v>11</v>
      </c>
      <c r="D843" t="s">
        <v>16</v>
      </c>
      <c r="E843">
        <v>16</v>
      </c>
      <c r="F843">
        <v>80</v>
      </c>
      <c r="G843">
        <v>1280</v>
      </c>
      <c r="H843">
        <v>0.04</v>
      </c>
      <c r="I843">
        <v>51.2</v>
      </c>
      <c r="J843" t="s">
        <v>17</v>
      </c>
    </row>
    <row r="844" spans="1:10" x14ac:dyDescent="0.25">
      <c r="A844" t="s">
        <v>874</v>
      </c>
      <c r="B844" s="1">
        <v>43301</v>
      </c>
      <c r="C844" t="s">
        <v>11</v>
      </c>
      <c r="D844" t="s">
        <v>27</v>
      </c>
      <c r="E844">
        <v>8</v>
      </c>
      <c r="F844">
        <v>80</v>
      </c>
      <c r="G844">
        <v>640</v>
      </c>
      <c r="H844">
        <v>0.06</v>
      </c>
      <c r="I844">
        <v>38.4</v>
      </c>
      <c r="J844" t="s">
        <v>20</v>
      </c>
    </row>
    <row r="845" spans="1:10" x14ac:dyDescent="0.25">
      <c r="A845" t="s">
        <v>875</v>
      </c>
      <c r="B845" s="1">
        <v>43301</v>
      </c>
      <c r="C845" t="s">
        <v>34</v>
      </c>
      <c r="D845" t="s">
        <v>27</v>
      </c>
      <c r="E845">
        <v>4</v>
      </c>
      <c r="F845">
        <v>150</v>
      </c>
      <c r="G845">
        <v>600</v>
      </c>
      <c r="H845">
        <v>0.12</v>
      </c>
      <c r="I845">
        <v>72</v>
      </c>
      <c r="J845" t="s">
        <v>22</v>
      </c>
    </row>
    <row r="846" spans="1:10" x14ac:dyDescent="0.25">
      <c r="A846" t="s">
        <v>876</v>
      </c>
      <c r="B846" s="1">
        <v>43301</v>
      </c>
      <c r="C846" t="s">
        <v>19</v>
      </c>
      <c r="D846" t="s">
        <v>24</v>
      </c>
      <c r="E846">
        <v>15</v>
      </c>
      <c r="F846">
        <v>230</v>
      </c>
      <c r="G846">
        <v>3450</v>
      </c>
      <c r="H846">
        <v>0.04</v>
      </c>
      <c r="I846">
        <v>138</v>
      </c>
      <c r="J846" t="s">
        <v>25</v>
      </c>
    </row>
    <row r="847" spans="1:10" x14ac:dyDescent="0.25">
      <c r="A847" t="s">
        <v>877</v>
      </c>
      <c r="B847" s="1">
        <v>43302</v>
      </c>
      <c r="C847" t="s">
        <v>30</v>
      </c>
      <c r="D847" t="s">
        <v>16</v>
      </c>
      <c r="E847">
        <v>7</v>
      </c>
      <c r="F847">
        <v>16</v>
      </c>
      <c r="G847">
        <v>112</v>
      </c>
      <c r="H847">
        <v>0.08</v>
      </c>
      <c r="I847">
        <v>8.9600000000000009</v>
      </c>
      <c r="J847" t="s">
        <v>28</v>
      </c>
    </row>
    <row r="848" spans="1:10" x14ac:dyDescent="0.25">
      <c r="A848" t="s">
        <v>878</v>
      </c>
      <c r="B848" s="1">
        <v>43302</v>
      </c>
      <c r="C848" t="s">
        <v>15</v>
      </c>
      <c r="D848" t="s">
        <v>12</v>
      </c>
      <c r="E848">
        <v>18</v>
      </c>
      <c r="F848">
        <v>40</v>
      </c>
      <c r="G848">
        <v>720</v>
      </c>
      <c r="H848">
        <v>0.11</v>
      </c>
      <c r="I848">
        <v>79.2</v>
      </c>
      <c r="J848" t="s">
        <v>17</v>
      </c>
    </row>
    <row r="849" spans="1:10" x14ac:dyDescent="0.25">
      <c r="A849" t="s">
        <v>879</v>
      </c>
      <c r="B849" s="1">
        <v>43302</v>
      </c>
      <c r="C849" t="s">
        <v>15</v>
      </c>
      <c r="D849" t="s">
        <v>24</v>
      </c>
      <c r="E849">
        <v>4</v>
      </c>
      <c r="F849">
        <v>40</v>
      </c>
      <c r="G849">
        <v>160</v>
      </c>
      <c r="H849">
        <v>0.06</v>
      </c>
      <c r="I849">
        <v>9.6</v>
      </c>
      <c r="J849" t="s">
        <v>20</v>
      </c>
    </row>
    <row r="850" spans="1:10" x14ac:dyDescent="0.25">
      <c r="A850" t="s">
        <v>880</v>
      </c>
      <c r="B850" s="1">
        <v>43302</v>
      </c>
      <c r="C850" t="s">
        <v>15</v>
      </c>
      <c r="D850" t="s">
        <v>31</v>
      </c>
      <c r="E850">
        <v>16</v>
      </c>
      <c r="F850">
        <v>40</v>
      </c>
      <c r="G850">
        <v>640</v>
      </c>
      <c r="H850">
        <v>0.09</v>
      </c>
      <c r="I850">
        <v>57.599999999999994</v>
      </c>
      <c r="J850" t="s">
        <v>22</v>
      </c>
    </row>
    <row r="851" spans="1:10" x14ac:dyDescent="0.25">
      <c r="A851" t="s">
        <v>881</v>
      </c>
      <c r="B851" s="1">
        <v>43302</v>
      </c>
      <c r="C851" t="s">
        <v>15</v>
      </c>
      <c r="D851" t="s">
        <v>16</v>
      </c>
      <c r="E851">
        <v>18</v>
      </c>
      <c r="F851">
        <v>40</v>
      </c>
      <c r="G851">
        <v>720</v>
      </c>
      <c r="H851">
        <v>0.08</v>
      </c>
      <c r="I851">
        <v>57.6</v>
      </c>
      <c r="J851" t="s">
        <v>25</v>
      </c>
    </row>
    <row r="852" spans="1:10" x14ac:dyDescent="0.25">
      <c r="A852" t="s">
        <v>882</v>
      </c>
      <c r="B852" s="1">
        <v>43302</v>
      </c>
      <c r="C852" t="s">
        <v>15</v>
      </c>
      <c r="D852" t="s">
        <v>12</v>
      </c>
      <c r="E852">
        <v>9</v>
      </c>
      <c r="F852">
        <v>40</v>
      </c>
      <c r="G852">
        <v>360</v>
      </c>
      <c r="H852">
        <v>0.01</v>
      </c>
      <c r="I852">
        <v>3.6</v>
      </c>
      <c r="J852" t="s">
        <v>28</v>
      </c>
    </row>
    <row r="853" spans="1:10" x14ac:dyDescent="0.25">
      <c r="A853" t="s">
        <v>883</v>
      </c>
      <c r="B853" s="1">
        <v>43302</v>
      </c>
      <c r="C853" t="s">
        <v>19</v>
      </c>
      <c r="D853" t="s">
        <v>27</v>
      </c>
      <c r="E853">
        <v>16</v>
      </c>
      <c r="F853">
        <v>230</v>
      </c>
      <c r="G853">
        <v>3680</v>
      </c>
      <c r="H853">
        <v>0.11</v>
      </c>
      <c r="I853">
        <v>404.8</v>
      </c>
      <c r="J853" t="s">
        <v>32</v>
      </c>
    </row>
    <row r="854" spans="1:10" x14ac:dyDescent="0.25">
      <c r="A854" t="s">
        <v>884</v>
      </c>
      <c r="B854" s="1">
        <v>43302</v>
      </c>
      <c r="C854" t="s">
        <v>30</v>
      </c>
      <c r="D854" t="s">
        <v>24</v>
      </c>
      <c r="E854">
        <v>12</v>
      </c>
      <c r="F854">
        <v>16</v>
      </c>
      <c r="G854">
        <v>192</v>
      </c>
      <c r="H854">
        <v>0.11</v>
      </c>
      <c r="I854">
        <v>21.12</v>
      </c>
      <c r="J854" t="s">
        <v>35</v>
      </c>
    </row>
    <row r="855" spans="1:10" x14ac:dyDescent="0.25">
      <c r="A855" t="s">
        <v>885</v>
      </c>
      <c r="B855" s="1">
        <v>43302</v>
      </c>
      <c r="C855" t="s">
        <v>11</v>
      </c>
      <c r="D855" t="s">
        <v>16</v>
      </c>
      <c r="E855">
        <v>2</v>
      </c>
      <c r="F855">
        <v>80</v>
      </c>
      <c r="G855">
        <v>160</v>
      </c>
      <c r="H855">
        <v>7.0000000000000007E-2</v>
      </c>
      <c r="I855">
        <v>11.200000000000001</v>
      </c>
      <c r="J855" t="s">
        <v>37</v>
      </c>
    </row>
    <row r="856" spans="1:10" x14ac:dyDescent="0.25">
      <c r="A856" t="s">
        <v>886</v>
      </c>
      <c r="B856" s="1">
        <v>43302</v>
      </c>
      <c r="C856" t="s">
        <v>15</v>
      </c>
      <c r="D856" t="s">
        <v>12</v>
      </c>
      <c r="E856">
        <v>2</v>
      </c>
      <c r="F856">
        <v>40</v>
      </c>
      <c r="G856">
        <v>80</v>
      </c>
      <c r="H856">
        <v>0.12</v>
      </c>
      <c r="I856">
        <v>9.6</v>
      </c>
      <c r="J856" t="s">
        <v>39</v>
      </c>
    </row>
    <row r="857" spans="1:10" x14ac:dyDescent="0.25">
      <c r="A857" t="s">
        <v>887</v>
      </c>
      <c r="B857" s="1">
        <v>43303</v>
      </c>
      <c r="C857" t="s">
        <v>34</v>
      </c>
      <c r="D857" t="s">
        <v>12</v>
      </c>
      <c r="E857">
        <v>13</v>
      </c>
      <c r="F857">
        <v>150</v>
      </c>
      <c r="G857">
        <v>1950</v>
      </c>
      <c r="H857">
        <v>0.05</v>
      </c>
      <c r="I857">
        <v>97.5</v>
      </c>
      <c r="J857" t="s">
        <v>41</v>
      </c>
    </row>
    <row r="858" spans="1:10" x14ac:dyDescent="0.25">
      <c r="A858" t="s">
        <v>888</v>
      </c>
      <c r="B858" s="1">
        <v>43303</v>
      </c>
      <c r="C858" t="s">
        <v>11</v>
      </c>
      <c r="D858" t="s">
        <v>12</v>
      </c>
      <c r="E858">
        <v>14</v>
      </c>
      <c r="F858">
        <v>80</v>
      </c>
      <c r="G858">
        <v>1120</v>
      </c>
      <c r="H858">
        <v>0.08</v>
      </c>
      <c r="I858">
        <v>89.600000000000009</v>
      </c>
      <c r="J858" t="s">
        <v>43</v>
      </c>
    </row>
    <row r="859" spans="1:10" x14ac:dyDescent="0.25">
      <c r="A859" t="s">
        <v>889</v>
      </c>
      <c r="B859" s="1">
        <v>43303</v>
      </c>
      <c r="C859" t="s">
        <v>34</v>
      </c>
      <c r="D859" t="s">
        <v>27</v>
      </c>
      <c r="E859">
        <v>6</v>
      </c>
      <c r="F859">
        <v>150</v>
      </c>
      <c r="G859">
        <v>900</v>
      </c>
      <c r="H859">
        <v>0.03</v>
      </c>
      <c r="I859">
        <v>27</v>
      </c>
      <c r="J859" t="s">
        <v>13</v>
      </c>
    </row>
    <row r="860" spans="1:10" x14ac:dyDescent="0.25">
      <c r="A860" t="s">
        <v>890</v>
      </c>
      <c r="B860" s="1">
        <v>43303</v>
      </c>
      <c r="C860" t="s">
        <v>11</v>
      </c>
      <c r="D860" t="s">
        <v>27</v>
      </c>
      <c r="E860">
        <v>23</v>
      </c>
      <c r="F860">
        <v>80</v>
      </c>
      <c r="G860">
        <v>1840</v>
      </c>
      <c r="H860">
        <v>0.11</v>
      </c>
      <c r="I860">
        <v>202.4</v>
      </c>
      <c r="J860" t="s">
        <v>17</v>
      </c>
    </row>
    <row r="861" spans="1:10" x14ac:dyDescent="0.25">
      <c r="A861" t="s">
        <v>891</v>
      </c>
      <c r="B861" s="1">
        <v>43303</v>
      </c>
      <c r="C861" t="s">
        <v>11</v>
      </c>
      <c r="D861" t="s">
        <v>27</v>
      </c>
      <c r="E861">
        <v>21</v>
      </c>
      <c r="F861">
        <v>80</v>
      </c>
      <c r="G861">
        <v>1680</v>
      </c>
      <c r="H861">
        <v>0.05</v>
      </c>
      <c r="I861">
        <v>84</v>
      </c>
      <c r="J861" t="s">
        <v>20</v>
      </c>
    </row>
    <row r="862" spans="1:10" x14ac:dyDescent="0.25">
      <c r="A862" t="s">
        <v>892</v>
      </c>
      <c r="B862" s="1">
        <v>43303</v>
      </c>
      <c r="C862" t="s">
        <v>30</v>
      </c>
      <c r="D862" t="s">
        <v>24</v>
      </c>
      <c r="E862">
        <v>3</v>
      </c>
      <c r="F862">
        <v>16</v>
      </c>
      <c r="G862">
        <v>48</v>
      </c>
      <c r="H862">
        <v>0.05</v>
      </c>
      <c r="I862">
        <v>2.4000000000000004</v>
      </c>
      <c r="J862" t="s">
        <v>22</v>
      </c>
    </row>
    <row r="863" spans="1:10" x14ac:dyDescent="0.25">
      <c r="A863" t="s">
        <v>893</v>
      </c>
      <c r="B863" s="1">
        <v>43303</v>
      </c>
      <c r="C863" t="s">
        <v>30</v>
      </c>
      <c r="D863" t="s">
        <v>16</v>
      </c>
      <c r="E863">
        <v>21</v>
      </c>
      <c r="F863">
        <v>16</v>
      </c>
      <c r="G863">
        <v>336</v>
      </c>
      <c r="H863">
        <v>0.02</v>
      </c>
      <c r="I863">
        <v>6.72</v>
      </c>
      <c r="J863" t="s">
        <v>25</v>
      </c>
    </row>
    <row r="864" spans="1:10" x14ac:dyDescent="0.25">
      <c r="A864" t="s">
        <v>894</v>
      </c>
      <c r="B864" s="1">
        <v>43303</v>
      </c>
      <c r="C864" t="s">
        <v>11</v>
      </c>
      <c r="D864" t="s">
        <v>27</v>
      </c>
      <c r="E864">
        <v>4</v>
      </c>
      <c r="F864">
        <v>80</v>
      </c>
      <c r="G864">
        <v>320</v>
      </c>
      <c r="H864">
        <v>0.11</v>
      </c>
      <c r="I864">
        <v>35.200000000000003</v>
      </c>
      <c r="J864" t="s">
        <v>28</v>
      </c>
    </row>
    <row r="865" spans="1:10" x14ac:dyDescent="0.25">
      <c r="A865" t="s">
        <v>895</v>
      </c>
      <c r="B865" s="1">
        <v>43303</v>
      </c>
      <c r="C865" t="s">
        <v>34</v>
      </c>
      <c r="D865" t="s">
        <v>31</v>
      </c>
      <c r="E865">
        <v>23</v>
      </c>
      <c r="F865">
        <v>150</v>
      </c>
      <c r="G865">
        <v>3450</v>
      </c>
      <c r="H865">
        <v>0.08</v>
      </c>
      <c r="I865">
        <v>276</v>
      </c>
      <c r="J865" t="s">
        <v>17</v>
      </c>
    </row>
    <row r="866" spans="1:10" x14ac:dyDescent="0.25">
      <c r="A866" t="s">
        <v>896</v>
      </c>
      <c r="B866" s="1">
        <v>43303</v>
      </c>
      <c r="C866" t="s">
        <v>30</v>
      </c>
      <c r="D866" t="s">
        <v>31</v>
      </c>
      <c r="E866">
        <v>23</v>
      </c>
      <c r="F866">
        <v>16</v>
      </c>
      <c r="G866">
        <v>368</v>
      </c>
      <c r="H866">
        <v>0.01</v>
      </c>
      <c r="I866">
        <v>3.68</v>
      </c>
      <c r="J866" t="s">
        <v>20</v>
      </c>
    </row>
    <row r="867" spans="1:10" x14ac:dyDescent="0.25">
      <c r="A867" t="s">
        <v>897</v>
      </c>
      <c r="B867" s="1">
        <v>43303</v>
      </c>
      <c r="C867" t="s">
        <v>15</v>
      </c>
      <c r="D867" t="s">
        <v>27</v>
      </c>
      <c r="E867">
        <v>22</v>
      </c>
      <c r="F867">
        <v>40</v>
      </c>
      <c r="G867">
        <v>880</v>
      </c>
      <c r="H867">
        <v>0.01</v>
      </c>
      <c r="I867">
        <v>8.8000000000000007</v>
      </c>
      <c r="J867" t="s">
        <v>22</v>
      </c>
    </row>
    <row r="868" spans="1:10" x14ac:dyDescent="0.25">
      <c r="A868" t="s">
        <v>898</v>
      </c>
      <c r="B868" s="1">
        <v>43304</v>
      </c>
      <c r="C868" t="s">
        <v>34</v>
      </c>
      <c r="D868" t="s">
        <v>12</v>
      </c>
      <c r="E868">
        <v>8</v>
      </c>
      <c r="F868">
        <v>150</v>
      </c>
      <c r="G868">
        <v>1200</v>
      </c>
      <c r="H868">
        <v>0.09</v>
      </c>
      <c r="I868">
        <v>108</v>
      </c>
      <c r="J868" t="s">
        <v>25</v>
      </c>
    </row>
    <row r="869" spans="1:10" x14ac:dyDescent="0.25">
      <c r="A869" t="s">
        <v>899</v>
      </c>
      <c r="B869" s="1">
        <v>43304</v>
      </c>
      <c r="C869" t="s">
        <v>34</v>
      </c>
      <c r="D869" t="s">
        <v>12</v>
      </c>
      <c r="E869">
        <v>20</v>
      </c>
      <c r="F869">
        <v>150</v>
      </c>
      <c r="G869">
        <v>3000</v>
      </c>
      <c r="H869">
        <v>0.01</v>
      </c>
      <c r="I869">
        <v>30</v>
      </c>
      <c r="J869" t="s">
        <v>28</v>
      </c>
    </row>
    <row r="870" spans="1:10" x14ac:dyDescent="0.25">
      <c r="A870" t="s">
        <v>900</v>
      </c>
      <c r="B870" s="1">
        <v>43304</v>
      </c>
      <c r="C870" t="s">
        <v>19</v>
      </c>
      <c r="D870" t="s">
        <v>16</v>
      </c>
      <c r="E870">
        <v>22</v>
      </c>
      <c r="F870">
        <v>230</v>
      </c>
      <c r="G870">
        <v>5060</v>
      </c>
      <c r="H870">
        <v>0.11</v>
      </c>
      <c r="I870">
        <v>556.6</v>
      </c>
      <c r="J870" t="s">
        <v>32</v>
      </c>
    </row>
    <row r="871" spans="1:10" x14ac:dyDescent="0.25">
      <c r="A871" t="s">
        <v>901</v>
      </c>
      <c r="B871" s="1">
        <v>43304</v>
      </c>
      <c r="C871" t="s">
        <v>30</v>
      </c>
      <c r="D871" t="s">
        <v>24</v>
      </c>
      <c r="E871">
        <v>23</v>
      </c>
      <c r="F871">
        <v>16</v>
      </c>
      <c r="G871">
        <v>368</v>
      </c>
      <c r="H871">
        <v>0.11</v>
      </c>
      <c r="I871">
        <v>40.479999999999997</v>
      </c>
      <c r="J871" t="s">
        <v>35</v>
      </c>
    </row>
    <row r="872" spans="1:10" x14ac:dyDescent="0.25">
      <c r="A872" t="s">
        <v>902</v>
      </c>
      <c r="B872" s="1">
        <v>43304</v>
      </c>
      <c r="C872" t="s">
        <v>11</v>
      </c>
      <c r="D872" t="s">
        <v>12</v>
      </c>
      <c r="E872">
        <v>6</v>
      </c>
      <c r="F872">
        <v>80</v>
      </c>
      <c r="G872">
        <v>480</v>
      </c>
      <c r="H872">
        <v>0.01</v>
      </c>
      <c r="I872">
        <v>4.8</v>
      </c>
      <c r="J872" t="s">
        <v>37</v>
      </c>
    </row>
    <row r="873" spans="1:10" x14ac:dyDescent="0.25">
      <c r="A873" t="s">
        <v>903</v>
      </c>
      <c r="B873" s="1">
        <v>43304</v>
      </c>
      <c r="C873" t="s">
        <v>30</v>
      </c>
      <c r="D873" t="s">
        <v>12</v>
      </c>
      <c r="E873">
        <v>7</v>
      </c>
      <c r="F873">
        <v>16</v>
      </c>
      <c r="G873">
        <v>112</v>
      </c>
      <c r="H873">
        <v>0.12</v>
      </c>
      <c r="I873">
        <v>13.44</v>
      </c>
      <c r="J873" t="s">
        <v>39</v>
      </c>
    </row>
    <row r="874" spans="1:10" x14ac:dyDescent="0.25">
      <c r="A874" t="s">
        <v>904</v>
      </c>
      <c r="B874" s="1">
        <v>43304</v>
      </c>
      <c r="C874" t="s">
        <v>11</v>
      </c>
      <c r="D874" t="s">
        <v>16</v>
      </c>
      <c r="E874">
        <v>10</v>
      </c>
      <c r="F874">
        <v>80</v>
      </c>
      <c r="G874">
        <v>800</v>
      </c>
      <c r="H874">
        <v>0.11</v>
      </c>
      <c r="I874">
        <v>88</v>
      </c>
      <c r="J874" t="s">
        <v>41</v>
      </c>
    </row>
    <row r="875" spans="1:10" x14ac:dyDescent="0.25">
      <c r="A875" t="s">
        <v>905</v>
      </c>
      <c r="B875" s="1">
        <v>43304</v>
      </c>
      <c r="C875" t="s">
        <v>19</v>
      </c>
      <c r="D875" t="s">
        <v>12</v>
      </c>
      <c r="E875">
        <v>9</v>
      </c>
      <c r="F875">
        <v>230</v>
      </c>
      <c r="G875">
        <v>2070</v>
      </c>
      <c r="H875">
        <v>7.0000000000000007E-2</v>
      </c>
      <c r="I875">
        <v>144.9</v>
      </c>
      <c r="J875" t="s">
        <v>43</v>
      </c>
    </row>
    <row r="876" spans="1:10" x14ac:dyDescent="0.25">
      <c r="A876" t="s">
        <v>906</v>
      </c>
      <c r="B876" s="1">
        <v>43305</v>
      </c>
      <c r="C876" t="s">
        <v>15</v>
      </c>
      <c r="D876" t="s">
        <v>16</v>
      </c>
      <c r="E876">
        <v>12</v>
      </c>
      <c r="F876">
        <v>40</v>
      </c>
      <c r="G876">
        <v>480</v>
      </c>
      <c r="H876">
        <v>0.1</v>
      </c>
      <c r="I876">
        <v>48</v>
      </c>
      <c r="J876" t="s">
        <v>13</v>
      </c>
    </row>
    <row r="877" spans="1:10" x14ac:dyDescent="0.25">
      <c r="A877" t="s">
        <v>907</v>
      </c>
      <c r="B877" s="1">
        <v>43305</v>
      </c>
      <c r="C877" t="s">
        <v>30</v>
      </c>
      <c r="D877" t="s">
        <v>31</v>
      </c>
      <c r="E877">
        <v>17</v>
      </c>
      <c r="F877">
        <v>16</v>
      </c>
      <c r="G877">
        <v>272</v>
      </c>
      <c r="H877">
        <v>0.1</v>
      </c>
      <c r="I877">
        <v>27.200000000000003</v>
      </c>
      <c r="J877" t="s">
        <v>17</v>
      </c>
    </row>
    <row r="878" spans="1:10" x14ac:dyDescent="0.25">
      <c r="A878" t="s">
        <v>908</v>
      </c>
      <c r="B878" s="1">
        <v>43305</v>
      </c>
      <c r="C878" t="s">
        <v>34</v>
      </c>
      <c r="D878" t="s">
        <v>24</v>
      </c>
      <c r="E878">
        <v>22</v>
      </c>
      <c r="F878">
        <v>150</v>
      </c>
      <c r="G878">
        <v>3300</v>
      </c>
      <c r="H878">
        <v>0.04</v>
      </c>
      <c r="I878">
        <v>132</v>
      </c>
      <c r="J878" t="s">
        <v>20</v>
      </c>
    </row>
    <row r="879" spans="1:10" x14ac:dyDescent="0.25">
      <c r="A879" t="s">
        <v>909</v>
      </c>
      <c r="B879" s="1">
        <v>43305</v>
      </c>
      <c r="C879" t="s">
        <v>34</v>
      </c>
      <c r="D879" t="s">
        <v>24</v>
      </c>
      <c r="E879">
        <v>11</v>
      </c>
      <c r="F879">
        <v>150</v>
      </c>
      <c r="G879">
        <v>1650</v>
      </c>
      <c r="H879">
        <v>0.05</v>
      </c>
      <c r="I879">
        <v>82.5</v>
      </c>
      <c r="J879" t="s">
        <v>22</v>
      </c>
    </row>
    <row r="880" spans="1:10" x14ac:dyDescent="0.25">
      <c r="A880" t="s">
        <v>910</v>
      </c>
      <c r="B880" s="1">
        <v>43305</v>
      </c>
      <c r="C880" t="s">
        <v>11</v>
      </c>
      <c r="D880" t="s">
        <v>31</v>
      </c>
      <c r="E880">
        <v>9</v>
      </c>
      <c r="F880">
        <v>80</v>
      </c>
      <c r="G880">
        <v>720</v>
      </c>
      <c r="H880">
        <v>0.02</v>
      </c>
      <c r="I880">
        <v>14.4</v>
      </c>
      <c r="J880" t="s">
        <v>25</v>
      </c>
    </row>
    <row r="881" spans="1:10" x14ac:dyDescent="0.25">
      <c r="A881" t="s">
        <v>911</v>
      </c>
      <c r="B881" s="1">
        <v>43305</v>
      </c>
      <c r="C881" t="s">
        <v>11</v>
      </c>
      <c r="D881" t="s">
        <v>31</v>
      </c>
      <c r="E881">
        <v>13</v>
      </c>
      <c r="F881">
        <v>80</v>
      </c>
      <c r="G881">
        <v>1040</v>
      </c>
      <c r="H881">
        <v>0.05</v>
      </c>
      <c r="I881">
        <v>52</v>
      </c>
      <c r="J881" t="s">
        <v>28</v>
      </c>
    </row>
    <row r="882" spans="1:10" x14ac:dyDescent="0.25">
      <c r="A882" t="s">
        <v>912</v>
      </c>
      <c r="B882" s="1">
        <v>43305</v>
      </c>
      <c r="C882" t="s">
        <v>15</v>
      </c>
      <c r="D882" t="s">
        <v>31</v>
      </c>
      <c r="E882">
        <v>20</v>
      </c>
      <c r="F882">
        <v>40</v>
      </c>
      <c r="G882">
        <v>800</v>
      </c>
      <c r="H882">
        <v>0.1</v>
      </c>
      <c r="I882">
        <v>80</v>
      </c>
      <c r="J882" t="s">
        <v>17</v>
      </c>
    </row>
    <row r="883" spans="1:10" x14ac:dyDescent="0.25">
      <c r="A883" t="s">
        <v>913</v>
      </c>
      <c r="B883" s="1">
        <v>43305</v>
      </c>
      <c r="C883" t="s">
        <v>15</v>
      </c>
      <c r="D883" t="s">
        <v>16</v>
      </c>
      <c r="E883">
        <v>15</v>
      </c>
      <c r="F883">
        <v>40</v>
      </c>
      <c r="G883">
        <v>600</v>
      </c>
      <c r="H883">
        <v>0.02</v>
      </c>
      <c r="I883">
        <v>12</v>
      </c>
      <c r="J883" t="s">
        <v>20</v>
      </c>
    </row>
    <row r="884" spans="1:10" x14ac:dyDescent="0.25">
      <c r="A884" t="s">
        <v>914</v>
      </c>
      <c r="B884" s="1">
        <v>43306</v>
      </c>
      <c r="C884" t="s">
        <v>34</v>
      </c>
      <c r="D884" t="s">
        <v>31</v>
      </c>
      <c r="E884">
        <v>15</v>
      </c>
      <c r="F884">
        <v>150</v>
      </c>
      <c r="G884">
        <v>2250</v>
      </c>
      <c r="H884">
        <v>7.0000000000000007E-2</v>
      </c>
      <c r="I884">
        <v>157.50000000000003</v>
      </c>
      <c r="J884" t="s">
        <v>22</v>
      </c>
    </row>
    <row r="885" spans="1:10" x14ac:dyDescent="0.25">
      <c r="A885" t="s">
        <v>915</v>
      </c>
      <c r="B885" s="1">
        <v>43306</v>
      </c>
      <c r="C885" t="s">
        <v>11</v>
      </c>
      <c r="D885" t="s">
        <v>31</v>
      </c>
      <c r="E885">
        <v>16</v>
      </c>
      <c r="F885">
        <v>80</v>
      </c>
      <c r="G885">
        <v>1280</v>
      </c>
      <c r="H885">
        <v>0.09</v>
      </c>
      <c r="I885">
        <v>115.19999999999999</v>
      </c>
      <c r="J885" t="s">
        <v>25</v>
      </c>
    </row>
    <row r="886" spans="1:10" x14ac:dyDescent="0.25">
      <c r="A886" t="s">
        <v>916</v>
      </c>
      <c r="B886" s="1">
        <v>43306</v>
      </c>
      <c r="C886" t="s">
        <v>19</v>
      </c>
      <c r="D886" t="s">
        <v>12</v>
      </c>
      <c r="E886">
        <v>16</v>
      </c>
      <c r="F886">
        <v>230</v>
      </c>
      <c r="G886">
        <v>3680</v>
      </c>
      <c r="H886">
        <v>7.0000000000000007E-2</v>
      </c>
      <c r="I886">
        <v>257.60000000000002</v>
      </c>
      <c r="J886" t="s">
        <v>28</v>
      </c>
    </row>
    <row r="887" spans="1:10" x14ac:dyDescent="0.25">
      <c r="A887" t="s">
        <v>917</v>
      </c>
      <c r="B887" s="1">
        <v>43306</v>
      </c>
      <c r="C887" t="s">
        <v>11</v>
      </c>
      <c r="D887" t="s">
        <v>16</v>
      </c>
      <c r="E887">
        <v>14</v>
      </c>
      <c r="F887">
        <v>80</v>
      </c>
      <c r="G887">
        <v>1120</v>
      </c>
      <c r="H887">
        <v>0.11</v>
      </c>
      <c r="I887">
        <v>123.2</v>
      </c>
      <c r="J887" t="s">
        <v>32</v>
      </c>
    </row>
    <row r="888" spans="1:10" x14ac:dyDescent="0.25">
      <c r="A888" t="s">
        <v>918</v>
      </c>
      <c r="B888" s="1">
        <v>43306</v>
      </c>
      <c r="C888" t="s">
        <v>11</v>
      </c>
      <c r="D888" t="s">
        <v>31</v>
      </c>
      <c r="E888">
        <v>17</v>
      </c>
      <c r="F888">
        <v>80</v>
      </c>
      <c r="G888">
        <v>1360</v>
      </c>
      <c r="H888">
        <v>7.0000000000000007E-2</v>
      </c>
      <c r="I888">
        <v>95.2</v>
      </c>
      <c r="J888" t="s">
        <v>35</v>
      </c>
    </row>
    <row r="889" spans="1:10" x14ac:dyDescent="0.25">
      <c r="A889" t="s">
        <v>919</v>
      </c>
      <c r="B889" s="1">
        <v>43306</v>
      </c>
      <c r="C889" t="s">
        <v>11</v>
      </c>
      <c r="D889" t="s">
        <v>24</v>
      </c>
      <c r="E889">
        <v>16</v>
      </c>
      <c r="F889">
        <v>80</v>
      </c>
      <c r="G889">
        <v>1280</v>
      </c>
      <c r="H889">
        <v>0.02</v>
      </c>
      <c r="I889">
        <v>25.6</v>
      </c>
      <c r="J889" t="s">
        <v>37</v>
      </c>
    </row>
    <row r="890" spans="1:10" x14ac:dyDescent="0.25">
      <c r="A890" t="s">
        <v>920</v>
      </c>
      <c r="B890" s="1">
        <v>43306</v>
      </c>
      <c r="C890" t="s">
        <v>30</v>
      </c>
      <c r="D890" t="s">
        <v>12</v>
      </c>
      <c r="E890">
        <v>21</v>
      </c>
      <c r="F890">
        <v>16</v>
      </c>
      <c r="G890">
        <v>336</v>
      </c>
      <c r="H890">
        <v>0.09</v>
      </c>
      <c r="I890">
        <v>30.24</v>
      </c>
      <c r="J890" t="s">
        <v>39</v>
      </c>
    </row>
    <row r="891" spans="1:10" x14ac:dyDescent="0.25">
      <c r="A891" t="s">
        <v>921</v>
      </c>
      <c r="B891" s="1">
        <v>43306</v>
      </c>
      <c r="C891" t="s">
        <v>34</v>
      </c>
      <c r="D891" t="s">
        <v>12</v>
      </c>
      <c r="E891">
        <v>9</v>
      </c>
      <c r="F891">
        <v>150</v>
      </c>
      <c r="G891">
        <v>1350</v>
      </c>
      <c r="H891">
        <v>0.1</v>
      </c>
      <c r="I891">
        <v>135</v>
      </c>
      <c r="J891" t="s">
        <v>41</v>
      </c>
    </row>
    <row r="892" spans="1:10" x14ac:dyDescent="0.25">
      <c r="A892" t="s">
        <v>922</v>
      </c>
      <c r="B892" s="1">
        <v>43306</v>
      </c>
      <c r="C892" t="s">
        <v>34</v>
      </c>
      <c r="D892" t="s">
        <v>27</v>
      </c>
      <c r="E892">
        <v>3</v>
      </c>
      <c r="F892">
        <v>150</v>
      </c>
      <c r="G892">
        <v>450</v>
      </c>
      <c r="H892">
        <v>0.01</v>
      </c>
      <c r="I892">
        <v>4.5</v>
      </c>
      <c r="J892" t="s">
        <v>43</v>
      </c>
    </row>
    <row r="893" spans="1:10" x14ac:dyDescent="0.25">
      <c r="A893" t="s">
        <v>923</v>
      </c>
      <c r="B893" s="1">
        <v>43307</v>
      </c>
      <c r="C893" t="s">
        <v>11</v>
      </c>
      <c r="D893" t="s">
        <v>16</v>
      </c>
      <c r="E893">
        <v>14</v>
      </c>
      <c r="F893">
        <v>80</v>
      </c>
      <c r="G893">
        <v>1120</v>
      </c>
      <c r="H893">
        <v>0.06</v>
      </c>
      <c r="I893">
        <v>67.2</v>
      </c>
      <c r="J893" t="s">
        <v>13</v>
      </c>
    </row>
    <row r="894" spans="1:10" x14ac:dyDescent="0.25">
      <c r="A894" t="s">
        <v>924</v>
      </c>
      <c r="B894" s="1">
        <v>43307</v>
      </c>
      <c r="C894" t="s">
        <v>34</v>
      </c>
      <c r="D894" t="s">
        <v>31</v>
      </c>
      <c r="E894">
        <v>4</v>
      </c>
      <c r="F894">
        <v>150</v>
      </c>
      <c r="G894">
        <v>600</v>
      </c>
      <c r="H894">
        <v>0.05</v>
      </c>
      <c r="I894">
        <v>30</v>
      </c>
      <c r="J894" t="s">
        <v>17</v>
      </c>
    </row>
    <row r="895" spans="1:10" x14ac:dyDescent="0.25">
      <c r="A895" t="s">
        <v>925</v>
      </c>
      <c r="B895" s="1">
        <v>43307</v>
      </c>
      <c r="C895" t="s">
        <v>30</v>
      </c>
      <c r="D895" t="s">
        <v>16</v>
      </c>
      <c r="E895">
        <v>20</v>
      </c>
      <c r="F895">
        <v>16</v>
      </c>
      <c r="G895">
        <v>320</v>
      </c>
      <c r="H895">
        <v>0.06</v>
      </c>
      <c r="I895">
        <v>19.2</v>
      </c>
      <c r="J895" t="s">
        <v>20</v>
      </c>
    </row>
    <row r="896" spans="1:10" x14ac:dyDescent="0.25">
      <c r="A896" t="s">
        <v>926</v>
      </c>
      <c r="B896" s="1">
        <v>43307</v>
      </c>
      <c r="C896" t="s">
        <v>19</v>
      </c>
      <c r="D896" t="s">
        <v>24</v>
      </c>
      <c r="E896">
        <v>7</v>
      </c>
      <c r="F896">
        <v>230</v>
      </c>
      <c r="G896">
        <v>1610</v>
      </c>
      <c r="H896">
        <v>0.01</v>
      </c>
      <c r="I896">
        <v>16.100000000000001</v>
      </c>
      <c r="J896" t="s">
        <v>22</v>
      </c>
    </row>
    <row r="897" spans="1:10" x14ac:dyDescent="0.25">
      <c r="A897" t="s">
        <v>927</v>
      </c>
      <c r="B897" s="1">
        <v>43307</v>
      </c>
      <c r="C897" t="s">
        <v>11</v>
      </c>
      <c r="D897" t="s">
        <v>16</v>
      </c>
      <c r="E897">
        <v>9</v>
      </c>
      <c r="F897">
        <v>80</v>
      </c>
      <c r="G897">
        <v>720</v>
      </c>
      <c r="H897">
        <v>0.03</v>
      </c>
      <c r="I897">
        <v>21.599999999999998</v>
      </c>
      <c r="J897" t="s">
        <v>25</v>
      </c>
    </row>
    <row r="898" spans="1:10" x14ac:dyDescent="0.25">
      <c r="A898" t="s">
        <v>928</v>
      </c>
      <c r="B898" s="1">
        <v>43307</v>
      </c>
      <c r="C898" t="s">
        <v>15</v>
      </c>
      <c r="D898" t="s">
        <v>27</v>
      </c>
      <c r="E898">
        <v>4</v>
      </c>
      <c r="F898">
        <v>40</v>
      </c>
      <c r="G898">
        <v>160</v>
      </c>
      <c r="H898">
        <v>0.05</v>
      </c>
      <c r="I898">
        <v>8</v>
      </c>
      <c r="J898" t="s">
        <v>28</v>
      </c>
    </row>
    <row r="899" spans="1:10" x14ac:dyDescent="0.25">
      <c r="A899" t="s">
        <v>929</v>
      </c>
      <c r="B899" s="1">
        <v>43307</v>
      </c>
      <c r="C899" t="s">
        <v>11</v>
      </c>
      <c r="D899" t="s">
        <v>12</v>
      </c>
      <c r="E899">
        <v>6</v>
      </c>
      <c r="F899">
        <v>80</v>
      </c>
      <c r="G899">
        <v>480</v>
      </c>
      <c r="H899">
        <v>7.0000000000000007E-2</v>
      </c>
      <c r="I899">
        <v>33.6</v>
      </c>
      <c r="J899" t="s">
        <v>17</v>
      </c>
    </row>
    <row r="900" spans="1:10" x14ac:dyDescent="0.25">
      <c r="A900" t="s">
        <v>930</v>
      </c>
      <c r="B900" s="1">
        <v>43307</v>
      </c>
      <c r="C900" t="s">
        <v>30</v>
      </c>
      <c r="D900" t="s">
        <v>24</v>
      </c>
      <c r="E900">
        <v>8</v>
      </c>
      <c r="F900">
        <v>16</v>
      </c>
      <c r="G900">
        <v>128</v>
      </c>
      <c r="H900">
        <v>0.03</v>
      </c>
      <c r="I900">
        <v>3.84</v>
      </c>
      <c r="J900" t="s">
        <v>20</v>
      </c>
    </row>
    <row r="901" spans="1:10" x14ac:dyDescent="0.25">
      <c r="A901" t="s">
        <v>931</v>
      </c>
      <c r="B901" s="1">
        <v>43307</v>
      </c>
      <c r="C901" t="s">
        <v>30</v>
      </c>
      <c r="D901" t="s">
        <v>12</v>
      </c>
      <c r="E901">
        <v>10</v>
      </c>
      <c r="F901">
        <v>16</v>
      </c>
      <c r="G901">
        <v>160</v>
      </c>
      <c r="H901">
        <v>0.08</v>
      </c>
      <c r="I901">
        <v>12.8</v>
      </c>
      <c r="J901" t="s">
        <v>22</v>
      </c>
    </row>
    <row r="902" spans="1:10" x14ac:dyDescent="0.25">
      <c r="A902" t="s">
        <v>932</v>
      </c>
      <c r="B902" s="1">
        <v>43307</v>
      </c>
      <c r="C902" t="s">
        <v>30</v>
      </c>
      <c r="D902" t="s">
        <v>27</v>
      </c>
      <c r="E902">
        <v>22</v>
      </c>
      <c r="F902">
        <v>16</v>
      </c>
      <c r="G902">
        <v>352</v>
      </c>
      <c r="H902">
        <v>0.03</v>
      </c>
      <c r="I902">
        <v>10.559999999999999</v>
      </c>
      <c r="J902" t="s">
        <v>25</v>
      </c>
    </row>
    <row r="903" spans="1:10" x14ac:dyDescent="0.25">
      <c r="A903" t="s">
        <v>933</v>
      </c>
      <c r="B903" s="1">
        <v>43307</v>
      </c>
      <c r="C903" t="s">
        <v>11</v>
      </c>
      <c r="D903" t="s">
        <v>27</v>
      </c>
      <c r="E903">
        <v>11</v>
      </c>
      <c r="F903">
        <v>80</v>
      </c>
      <c r="G903">
        <v>880</v>
      </c>
      <c r="H903">
        <v>0.01</v>
      </c>
      <c r="I903">
        <v>8.8000000000000007</v>
      </c>
      <c r="J903" t="s">
        <v>28</v>
      </c>
    </row>
    <row r="904" spans="1:10" x14ac:dyDescent="0.25">
      <c r="A904" t="s">
        <v>934</v>
      </c>
      <c r="B904" s="1">
        <v>43307</v>
      </c>
      <c r="C904" t="s">
        <v>30</v>
      </c>
      <c r="D904" t="s">
        <v>27</v>
      </c>
      <c r="E904">
        <v>7</v>
      </c>
      <c r="F904">
        <v>16</v>
      </c>
      <c r="G904">
        <v>112</v>
      </c>
      <c r="H904">
        <v>0.08</v>
      </c>
      <c r="I904">
        <v>8.9600000000000009</v>
      </c>
      <c r="J904" t="s">
        <v>32</v>
      </c>
    </row>
    <row r="905" spans="1:10" x14ac:dyDescent="0.25">
      <c r="A905" t="s">
        <v>935</v>
      </c>
      <c r="B905" s="1">
        <v>43308</v>
      </c>
      <c r="C905" t="s">
        <v>30</v>
      </c>
      <c r="D905" t="s">
        <v>24</v>
      </c>
      <c r="E905">
        <v>11</v>
      </c>
      <c r="F905">
        <v>16</v>
      </c>
      <c r="G905">
        <v>176</v>
      </c>
      <c r="H905">
        <v>0.12</v>
      </c>
      <c r="I905">
        <v>21.119999999999997</v>
      </c>
      <c r="J905" t="s">
        <v>35</v>
      </c>
    </row>
    <row r="906" spans="1:10" x14ac:dyDescent="0.25">
      <c r="A906" t="s">
        <v>936</v>
      </c>
      <c r="B906" s="1">
        <v>43308</v>
      </c>
      <c r="C906" t="s">
        <v>15</v>
      </c>
      <c r="D906" t="s">
        <v>31</v>
      </c>
      <c r="E906">
        <v>7</v>
      </c>
      <c r="F906">
        <v>40</v>
      </c>
      <c r="G906">
        <v>280</v>
      </c>
      <c r="H906">
        <v>0.05</v>
      </c>
      <c r="I906">
        <v>14</v>
      </c>
      <c r="J906" t="s">
        <v>37</v>
      </c>
    </row>
    <row r="907" spans="1:10" x14ac:dyDescent="0.25">
      <c r="A907" t="s">
        <v>937</v>
      </c>
      <c r="B907" s="1">
        <v>43308</v>
      </c>
      <c r="C907" t="s">
        <v>34</v>
      </c>
      <c r="D907" t="s">
        <v>24</v>
      </c>
      <c r="E907">
        <v>9</v>
      </c>
      <c r="F907">
        <v>150</v>
      </c>
      <c r="G907">
        <v>1350</v>
      </c>
      <c r="H907">
        <v>0.06</v>
      </c>
      <c r="I907">
        <v>81</v>
      </c>
      <c r="J907" t="s">
        <v>39</v>
      </c>
    </row>
    <row r="908" spans="1:10" x14ac:dyDescent="0.25">
      <c r="A908" t="s">
        <v>938</v>
      </c>
      <c r="B908" s="1">
        <v>43308</v>
      </c>
      <c r="C908" t="s">
        <v>19</v>
      </c>
      <c r="D908" t="s">
        <v>12</v>
      </c>
      <c r="E908">
        <v>20</v>
      </c>
      <c r="F908">
        <v>230</v>
      </c>
      <c r="G908">
        <v>4600</v>
      </c>
      <c r="H908">
        <v>0.04</v>
      </c>
      <c r="I908">
        <v>184</v>
      </c>
      <c r="J908" t="s">
        <v>41</v>
      </c>
    </row>
    <row r="909" spans="1:10" x14ac:dyDescent="0.25">
      <c r="A909" t="s">
        <v>939</v>
      </c>
      <c r="B909" s="1">
        <v>43308</v>
      </c>
      <c r="C909" t="s">
        <v>34</v>
      </c>
      <c r="D909" t="s">
        <v>24</v>
      </c>
      <c r="E909">
        <v>9</v>
      </c>
      <c r="F909">
        <v>150</v>
      </c>
      <c r="G909">
        <v>1350</v>
      </c>
      <c r="H909">
        <v>0.02</v>
      </c>
      <c r="I909">
        <v>27</v>
      </c>
      <c r="J909" t="s">
        <v>43</v>
      </c>
    </row>
    <row r="910" spans="1:10" x14ac:dyDescent="0.25">
      <c r="A910" t="s">
        <v>940</v>
      </c>
      <c r="B910" s="1">
        <v>43308</v>
      </c>
      <c r="C910" t="s">
        <v>11</v>
      </c>
      <c r="D910" t="s">
        <v>16</v>
      </c>
      <c r="E910">
        <v>5</v>
      </c>
      <c r="F910">
        <v>80</v>
      </c>
      <c r="G910">
        <v>400</v>
      </c>
      <c r="H910">
        <v>7.0000000000000007E-2</v>
      </c>
      <c r="I910">
        <v>28.000000000000004</v>
      </c>
      <c r="J910" t="s">
        <v>13</v>
      </c>
    </row>
    <row r="911" spans="1:10" x14ac:dyDescent="0.25">
      <c r="A911" t="s">
        <v>941</v>
      </c>
      <c r="B911" s="1">
        <v>43308</v>
      </c>
      <c r="C911" t="s">
        <v>34</v>
      </c>
      <c r="D911" t="s">
        <v>24</v>
      </c>
      <c r="E911">
        <v>20</v>
      </c>
      <c r="F911">
        <v>150</v>
      </c>
      <c r="G911">
        <v>3000</v>
      </c>
      <c r="H911">
        <v>0.04</v>
      </c>
      <c r="I911">
        <v>120</v>
      </c>
      <c r="J911" t="s">
        <v>17</v>
      </c>
    </row>
    <row r="912" spans="1:10" x14ac:dyDescent="0.25">
      <c r="A912" t="s">
        <v>942</v>
      </c>
      <c r="B912" s="1">
        <v>43308</v>
      </c>
      <c r="C912" t="s">
        <v>34</v>
      </c>
      <c r="D912" t="s">
        <v>27</v>
      </c>
      <c r="E912">
        <v>15</v>
      </c>
      <c r="F912">
        <v>150</v>
      </c>
      <c r="G912">
        <v>2250</v>
      </c>
      <c r="H912">
        <v>0.05</v>
      </c>
      <c r="I912">
        <v>112.5</v>
      </c>
      <c r="J912" t="s">
        <v>20</v>
      </c>
    </row>
    <row r="913" spans="1:10" x14ac:dyDescent="0.25">
      <c r="A913" t="s">
        <v>943</v>
      </c>
      <c r="B913" s="1">
        <v>43308</v>
      </c>
      <c r="C913" t="s">
        <v>11</v>
      </c>
      <c r="D913" t="s">
        <v>12</v>
      </c>
      <c r="E913">
        <v>20</v>
      </c>
      <c r="F913">
        <v>80</v>
      </c>
      <c r="G913">
        <v>1600</v>
      </c>
      <c r="H913">
        <v>0.01</v>
      </c>
      <c r="I913">
        <v>16</v>
      </c>
      <c r="J913" t="s">
        <v>22</v>
      </c>
    </row>
    <row r="914" spans="1:10" x14ac:dyDescent="0.25">
      <c r="A914" t="s">
        <v>944</v>
      </c>
      <c r="B914" s="1">
        <v>43309</v>
      </c>
      <c r="C914" t="s">
        <v>19</v>
      </c>
      <c r="D914" t="s">
        <v>16</v>
      </c>
      <c r="E914">
        <v>12</v>
      </c>
      <c r="F914">
        <v>230</v>
      </c>
      <c r="G914">
        <v>2760</v>
      </c>
      <c r="H914">
        <v>0.03</v>
      </c>
      <c r="I914">
        <v>82.8</v>
      </c>
      <c r="J914" t="s">
        <v>25</v>
      </c>
    </row>
    <row r="915" spans="1:10" x14ac:dyDescent="0.25">
      <c r="A915" t="s">
        <v>945</v>
      </c>
      <c r="B915" s="1">
        <v>43309</v>
      </c>
      <c r="C915" t="s">
        <v>15</v>
      </c>
      <c r="D915" t="s">
        <v>31</v>
      </c>
      <c r="E915">
        <v>20</v>
      </c>
      <c r="F915">
        <v>40</v>
      </c>
      <c r="G915">
        <v>800</v>
      </c>
      <c r="H915">
        <v>0.05</v>
      </c>
      <c r="I915">
        <v>40</v>
      </c>
      <c r="J915" t="s">
        <v>28</v>
      </c>
    </row>
    <row r="916" spans="1:10" x14ac:dyDescent="0.25">
      <c r="A916" t="s">
        <v>946</v>
      </c>
      <c r="B916" s="1">
        <v>43309</v>
      </c>
      <c r="C916" t="s">
        <v>15</v>
      </c>
      <c r="D916" t="s">
        <v>31</v>
      </c>
      <c r="E916">
        <v>4</v>
      </c>
      <c r="F916">
        <v>40</v>
      </c>
      <c r="G916">
        <v>160</v>
      </c>
      <c r="H916">
        <v>0.09</v>
      </c>
      <c r="I916">
        <v>14.399999999999999</v>
      </c>
      <c r="J916" t="s">
        <v>17</v>
      </c>
    </row>
    <row r="917" spans="1:10" x14ac:dyDescent="0.25">
      <c r="A917" t="s">
        <v>947</v>
      </c>
      <c r="B917" s="1">
        <v>43309</v>
      </c>
      <c r="C917" t="s">
        <v>30</v>
      </c>
      <c r="D917" t="s">
        <v>24</v>
      </c>
      <c r="E917">
        <v>6</v>
      </c>
      <c r="F917">
        <v>16</v>
      </c>
      <c r="G917">
        <v>96</v>
      </c>
      <c r="H917">
        <v>7.0000000000000007E-2</v>
      </c>
      <c r="I917">
        <v>6.7200000000000006</v>
      </c>
      <c r="J917" t="s">
        <v>20</v>
      </c>
    </row>
    <row r="918" spans="1:10" x14ac:dyDescent="0.25">
      <c r="A918" t="s">
        <v>948</v>
      </c>
      <c r="B918" s="1">
        <v>43309</v>
      </c>
      <c r="C918" t="s">
        <v>11</v>
      </c>
      <c r="D918" t="s">
        <v>16</v>
      </c>
      <c r="E918">
        <v>13</v>
      </c>
      <c r="F918">
        <v>80</v>
      </c>
      <c r="G918">
        <v>1040</v>
      </c>
      <c r="H918">
        <v>0.06</v>
      </c>
      <c r="I918">
        <v>62.4</v>
      </c>
      <c r="J918" t="s">
        <v>22</v>
      </c>
    </row>
    <row r="919" spans="1:10" x14ac:dyDescent="0.25">
      <c r="A919" t="s">
        <v>949</v>
      </c>
      <c r="B919" s="1">
        <v>43309</v>
      </c>
      <c r="C919" t="s">
        <v>34</v>
      </c>
      <c r="D919" t="s">
        <v>12</v>
      </c>
      <c r="E919">
        <v>4</v>
      </c>
      <c r="F919">
        <v>150</v>
      </c>
      <c r="G919">
        <v>600</v>
      </c>
      <c r="H919">
        <v>0.1</v>
      </c>
      <c r="I919">
        <v>60</v>
      </c>
      <c r="J919" t="s">
        <v>25</v>
      </c>
    </row>
    <row r="920" spans="1:10" x14ac:dyDescent="0.25">
      <c r="A920" t="s">
        <v>950</v>
      </c>
      <c r="B920" s="1">
        <v>43309</v>
      </c>
      <c r="C920" t="s">
        <v>34</v>
      </c>
      <c r="D920" t="s">
        <v>27</v>
      </c>
      <c r="E920">
        <v>9</v>
      </c>
      <c r="F920">
        <v>150</v>
      </c>
      <c r="G920">
        <v>1350</v>
      </c>
      <c r="H920">
        <v>0.02</v>
      </c>
      <c r="I920">
        <v>27</v>
      </c>
      <c r="J920" t="s">
        <v>28</v>
      </c>
    </row>
    <row r="921" spans="1:10" x14ac:dyDescent="0.25">
      <c r="A921" t="s">
        <v>951</v>
      </c>
      <c r="B921" s="1">
        <v>43309</v>
      </c>
      <c r="C921" t="s">
        <v>34</v>
      </c>
      <c r="D921" t="s">
        <v>12</v>
      </c>
      <c r="E921">
        <v>11</v>
      </c>
      <c r="F921">
        <v>150</v>
      </c>
      <c r="G921">
        <v>1650</v>
      </c>
      <c r="H921">
        <v>0.05</v>
      </c>
      <c r="I921">
        <v>82.5</v>
      </c>
      <c r="J921" t="s">
        <v>32</v>
      </c>
    </row>
    <row r="922" spans="1:10" x14ac:dyDescent="0.25">
      <c r="A922" t="s">
        <v>952</v>
      </c>
      <c r="B922" s="1">
        <v>43309</v>
      </c>
      <c r="C922" t="s">
        <v>30</v>
      </c>
      <c r="D922" t="s">
        <v>24</v>
      </c>
      <c r="E922">
        <v>6</v>
      </c>
      <c r="F922">
        <v>16</v>
      </c>
      <c r="G922">
        <v>96</v>
      </c>
      <c r="H922">
        <v>0.06</v>
      </c>
      <c r="I922">
        <v>5.76</v>
      </c>
      <c r="J922" t="s">
        <v>35</v>
      </c>
    </row>
    <row r="923" spans="1:10" x14ac:dyDescent="0.25">
      <c r="A923" t="s">
        <v>953</v>
      </c>
      <c r="B923" s="1">
        <v>43310</v>
      </c>
      <c r="C923" t="s">
        <v>19</v>
      </c>
      <c r="D923" t="s">
        <v>24</v>
      </c>
      <c r="E923">
        <v>14</v>
      </c>
      <c r="F923">
        <v>230</v>
      </c>
      <c r="G923">
        <v>3220</v>
      </c>
      <c r="H923">
        <v>0.12</v>
      </c>
      <c r="I923">
        <v>386.4</v>
      </c>
      <c r="J923" t="s">
        <v>37</v>
      </c>
    </row>
    <row r="924" spans="1:10" x14ac:dyDescent="0.25">
      <c r="A924" t="s">
        <v>954</v>
      </c>
      <c r="B924" s="1">
        <v>43310</v>
      </c>
      <c r="C924" t="s">
        <v>11</v>
      </c>
      <c r="D924" t="s">
        <v>16</v>
      </c>
      <c r="E924">
        <v>15</v>
      </c>
      <c r="F924">
        <v>80</v>
      </c>
      <c r="G924">
        <v>1200</v>
      </c>
      <c r="H924">
        <v>0.12</v>
      </c>
      <c r="I924">
        <v>144</v>
      </c>
      <c r="J924" t="s">
        <v>39</v>
      </c>
    </row>
    <row r="925" spans="1:10" x14ac:dyDescent="0.25">
      <c r="A925" t="s">
        <v>955</v>
      </c>
      <c r="B925" s="1">
        <v>43310</v>
      </c>
      <c r="C925" t="s">
        <v>19</v>
      </c>
      <c r="D925" t="s">
        <v>27</v>
      </c>
      <c r="E925">
        <v>17</v>
      </c>
      <c r="F925">
        <v>230</v>
      </c>
      <c r="G925">
        <v>3910</v>
      </c>
      <c r="H925">
        <v>0.12</v>
      </c>
      <c r="I925">
        <v>469.2</v>
      </c>
      <c r="J925" t="s">
        <v>41</v>
      </c>
    </row>
    <row r="926" spans="1:10" x14ac:dyDescent="0.25">
      <c r="A926" t="s">
        <v>956</v>
      </c>
      <c r="B926" s="1">
        <v>43310</v>
      </c>
      <c r="C926" t="s">
        <v>34</v>
      </c>
      <c r="D926" t="s">
        <v>12</v>
      </c>
      <c r="E926">
        <v>5</v>
      </c>
      <c r="F926">
        <v>150</v>
      </c>
      <c r="G926">
        <v>750</v>
      </c>
      <c r="H926">
        <v>0.11</v>
      </c>
      <c r="I926">
        <v>82.5</v>
      </c>
      <c r="J926" t="s">
        <v>43</v>
      </c>
    </row>
    <row r="927" spans="1:10" x14ac:dyDescent="0.25">
      <c r="A927" t="s">
        <v>957</v>
      </c>
      <c r="B927" s="1">
        <v>43310</v>
      </c>
      <c r="C927" t="s">
        <v>11</v>
      </c>
      <c r="D927" t="s">
        <v>31</v>
      </c>
      <c r="E927">
        <v>10</v>
      </c>
      <c r="F927">
        <v>80</v>
      </c>
      <c r="G927">
        <v>800</v>
      </c>
      <c r="H927">
        <v>0.06</v>
      </c>
      <c r="I927">
        <v>48</v>
      </c>
      <c r="J927" t="s">
        <v>13</v>
      </c>
    </row>
    <row r="928" spans="1:10" x14ac:dyDescent="0.25">
      <c r="A928" t="s">
        <v>958</v>
      </c>
      <c r="B928" s="1">
        <v>43310</v>
      </c>
      <c r="C928" t="s">
        <v>11</v>
      </c>
      <c r="D928" t="s">
        <v>12</v>
      </c>
      <c r="E928">
        <v>9</v>
      </c>
      <c r="F928">
        <v>80</v>
      </c>
      <c r="G928">
        <v>720</v>
      </c>
      <c r="H928">
        <v>0.04</v>
      </c>
      <c r="I928">
        <v>28.8</v>
      </c>
      <c r="J928" t="s">
        <v>17</v>
      </c>
    </row>
    <row r="929" spans="1:10" x14ac:dyDescent="0.25">
      <c r="A929" t="s">
        <v>959</v>
      </c>
      <c r="B929" s="1">
        <v>43310</v>
      </c>
      <c r="C929" t="s">
        <v>15</v>
      </c>
      <c r="D929" t="s">
        <v>31</v>
      </c>
      <c r="E929">
        <v>16</v>
      </c>
      <c r="F929">
        <v>40</v>
      </c>
      <c r="G929">
        <v>640</v>
      </c>
      <c r="H929">
        <v>0.09</v>
      </c>
      <c r="I929">
        <v>57.599999999999994</v>
      </c>
      <c r="J929" t="s">
        <v>20</v>
      </c>
    </row>
    <row r="930" spans="1:10" x14ac:dyDescent="0.25">
      <c r="A930" t="s">
        <v>960</v>
      </c>
      <c r="B930" s="1">
        <v>43310</v>
      </c>
      <c r="C930" t="s">
        <v>19</v>
      </c>
      <c r="D930" t="s">
        <v>12</v>
      </c>
      <c r="E930">
        <v>7</v>
      </c>
      <c r="F930">
        <v>230</v>
      </c>
      <c r="G930">
        <v>1610</v>
      </c>
      <c r="H930">
        <v>0.08</v>
      </c>
      <c r="I930">
        <v>128.80000000000001</v>
      </c>
      <c r="J930" t="s">
        <v>22</v>
      </c>
    </row>
    <row r="931" spans="1:10" x14ac:dyDescent="0.25">
      <c r="A931" t="s">
        <v>961</v>
      </c>
      <c r="B931" s="1">
        <v>43310</v>
      </c>
      <c r="C931" t="s">
        <v>11</v>
      </c>
      <c r="D931" t="s">
        <v>27</v>
      </c>
      <c r="E931">
        <v>17</v>
      </c>
      <c r="F931">
        <v>80</v>
      </c>
      <c r="G931">
        <v>1360</v>
      </c>
      <c r="H931">
        <v>0.05</v>
      </c>
      <c r="I931">
        <v>68</v>
      </c>
      <c r="J931" t="s">
        <v>25</v>
      </c>
    </row>
    <row r="932" spans="1:10" x14ac:dyDescent="0.25">
      <c r="A932" t="s">
        <v>962</v>
      </c>
      <c r="B932" s="1">
        <v>43310</v>
      </c>
      <c r="C932" t="s">
        <v>19</v>
      </c>
      <c r="D932" t="s">
        <v>12</v>
      </c>
      <c r="E932">
        <v>11</v>
      </c>
      <c r="F932">
        <v>230</v>
      </c>
      <c r="G932">
        <v>2530</v>
      </c>
      <c r="H932">
        <v>0.02</v>
      </c>
      <c r="I932">
        <v>50.6</v>
      </c>
      <c r="J932" t="s">
        <v>28</v>
      </c>
    </row>
    <row r="933" spans="1:10" x14ac:dyDescent="0.25">
      <c r="A933" t="s">
        <v>963</v>
      </c>
      <c r="B933" s="1">
        <v>43311</v>
      </c>
      <c r="C933" t="s">
        <v>15</v>
      </c>
      <c r="D933" t="s">
        <v>12</v>
      </c>
      <c r="E933">
        <v>15</v>
      </c>
      <c r="F933">
        <v>40</v>
      </c>
      <c r="G933">
        <v>600</v>
      </c>
      <c r="H933">
        <v>0.06</v>
      </c>
      <c r="I933">
        <v>36</v>
      </c>
      <c r="J933" t="s">
        <v>17</v>
      </c>
    </row>
    <row r="934" spans="1:10" x14ac:dyDescent="0.25">
      <c r="A934" t="s">
        <v>964</v>
      </c>
      <c r="B934" s="1">
        <v>43312</v>
      </c>
      <c r="C934" t="s">
        <v>19</v>
      </c>
      <c r="D934" t="s">
        <v>12</v>
      </c>
      <c r="E934">
        <v>7</v>
      </c>
      <c r="F934">
        <v>230</v>
      </c>
      <c r="G934">
        <v>1610</v>
      </c>
      <c r="H934">
        <v>0.02</v>
      </c>
      <c r="I934">
        <v>32.200000000000003</v>
      </c>
      <c r="J934" t="s">
        <v>20</v>
      </c>
    </row>
    <row r="935" spans="1:10" x14ac:dyDescent="0.25">
      <c r="A935" t="s">
        <v>965</v>
      </c>
      <c r="B935" s="1">
        <v>43312</v>
      </c>
      <c r="C935" t="s">
        <v>11</v>
      </c>
      <c r="D935" t="s">
        <v>24</v>
      </c>
      <c r="E935">
        <v>20</v>
      </c>
      <c r="F935">
        <v>80</v>
      </c>
      <c r="G935">
        <v>1600</v>
      </c>
      <c r="H935">
        <v>7.0000000000000007E-2</v>
      </c>
      <c r="I935">
        <v>112.00000000000001</v>
      </c>
      <c r="J935" t="s">
        <v>22</v>
      </c>
    </row>
    <row r="936" spans="1:10" x14ac:dyDescent="0.25">
      <c r="A936" t="s">
        <v>966</v>
      </c>
      <c r="B936" s="1">
        <v>43312</v>
      </c>
      <c r="C936" t="s">
        <v>11</v>
      </c>
      <c r="D936" t="s">
        <v>16</v>
      </c>
      <c r="E936">
        <v>3</v>
      </c>
      <c r="F936">
        <v>80</v>
      </c>
      <c r="G936">
        <v>240</v>
      </c>
      <c r="H936">
        <v>0.02</v>
      </c>
      <c r="I936">
        <v>4.8</v>
      </c>
      <c r="J936" t="s">
        <v>25</v>
      </c>
    </row>
    <row r="937" spans="1:10" x14ac:dyDescent="0.25">
      <c r="A937" t="s">
        <v>967</v>
      </c>
      <c r="B937" s="1">
        <v>43312</v>
      </c>
      <c r="C937" t="s">
        <v>34</v>
      </c>
      <c r="D937" t="s">
        <v>24</v>
      </c>
      <c r="E937">
        <v>2</v>
      </c>
      <c r="F937">
        <v>150</v>
      </c>
      <c r="G937">
        <v>300</v>
      </c>
      <c r="H937">
        <v>0.02</v>
      </c>
      <c r="I937">
        <v>6</v>
      </c>
      <c r="J937" t="s">
        <v>28</v>
      </c>
    </row>
    <row r="938" spans="1:10" x14ac:dyDescent="0.25">
      <c r="A938" t="s">
        <v>968</v>
      </c>
      <c r="B938" s="1">
        <v>43312</v>
      </c>
      <c r="C938" t="s">
        <v>34</v>
      </c>
      <c r="D938" t="s">
        <v>24</v>
      </c>
      <c r="E938">
        <v>22</v>
      </c>
      <c r="F938">
        <v>150</v>
      </c>
      <c r="G938">
        <v>3300</v>
      </c>
      <c r="H938">
        <v>0.09</v>
      </c>
      <c r="I938">
        <v>297</v>
      </c>
      <c r="J938" t="s">
        <v>32</v>
      </c>
    </row>
    <row r="939" spans="1:10" x14ac:dyDescent="0.25">
      <c r="A939" t="s">
        <v>969</v>
      </c>
      <c r="B939" s="1">
        <v>43312</v>
      </c>
      <c r="C939" t="s">
        <v>19</v>
      </c>
      <c r="D939" t="s">
        <v>12</v>
      </c>
      <c r="E939">
        <v>5</v>
      </c>
      <c r="F939">
        <v>230</v>
      </c>
      <c r="G939">
        <v>1150</v>
      </c>
      <c r="H939">
        <v>0.1</v>
      </c>
      <c r="I939">
        <v>115</v>
      </c>
      <c r="J939" t="s">
        <v>35</v>
      </c>
    </row>
    <row r="940" spans="1:10" x14ac:dyDescent="0.25">
      <c r="A940" t="s">
        <v>970</v>
      </c>
      <c r="B940" s="1">
        <v>43312</v>
      </c>
      <c r="C940" t="s">
        <v>30</v>
      </c>
      <c r="D940" t="s">
        <v>31</v>
      </c>
      <c r="E940">
        <v>12</v>
      </c>
      <c r="F940">
        <v>16</v>
      </c>
      <c r="G940">
        <v>192</v>
      </c>
      <c r="H940">
        <v>0.04</v>
      </c>
      <c r="I940">
        <v>7.68</v>
      </c>
      <c r="J940" t="s">
        <v>37</v>
      </c>
    </row>
    <row r="941" spans="1:10" x14ac:dyDescent="0.25">
      <c r="A941" t="s">
        <v>971</v>
      </c>
      <c r="B941" s="1">
        <v>43312</v>
      </c>
      <c r="C941" t="s">
        <v>15</v>
      </c>
      <c r="D941" t="s">
        <v>27</v>
      </c>
      <c r="E941">
        <v>6</v>
      </c>
      <c r="F941">
        <v>40</v>
      </c>
      <c r="G941">
        <v>240</v>
      </c>
      <c r="H941">
        <v>7.0000000000000007E-2</v>
      </c>
      <c r="I941">
        <v>16.8</v>
      </c>
      <c r="J941" t="s">
        <v>39</v>
      </c>
    </row>
    <row r="942" spans="1:10" x14ac:dyDescent="0.25">
      <c r="A942" t="s">
        <v>972</v>
      </c>
      <c r="B942" s="1">
        <v>43312</v>
      </c>
      <c r="C942" t="s">
        <v>30</v>
      </c>
      <c r="D942" t="s">
        <v>31</v>
      </c>
      <c r="E942">
        <v>15</v>
      </c>
      <c r="F942">
        <v>16</v>
      </c>
      <c r="G942">
        <v>240</v>
      </c>
      <c r="H942">
        <v>0.01</v>
      </c>
      <c r="I942">
        <v>2.4</v>
      </c>
      <c r="J942" t="s">
        <v>41</v>
      </c>
    </row>
    <row r="943" spans="1:10" x14ac:dyDescent="0.25">
      <c r="A943" t="s">
        <v>973</v>
      </c>
      <c r="B943" s="1">
        <v>43282</v>
      </c>
      <c r="C943" t="s">
        <v>34</v>
      </c>
      <c r="D943" t="s">
        <v>31</v>
      </c>
      <c r="E943">
        <v>13</v>
      </c>
      <c r="F943">
        <v>150</v>
      </c>
      <c r="G943">
        <v>1950</v>
      </c>
      <c r="H943">
        <v>0.11</v>
      </c>
      <c r="I943">
        <v>214.5</v>
      </c>
      <c r="J943" t="s">
        <v>43</v>
      </c>
    </row>
    <row r="944" spans="1:10" x14ac:dyDescent="0.25">
      <c r="A944" t="s">
        <v>974</v>
      </c>
      <c r="B944" s="1">
        <v>43282</v>
      </c>
      <c r="C944" t="s">
        <v>15</v>
      </c>
      <c r="D944" t="s">
        <v>16</v>
      </c>
      <c r="E944">
        <v>8</v>
      </c>
      <c r="F944">
        <v>40</v>
      </c>
      <c r="G944">
        <v>320</v>
      </c>
      <c r="H944">
        <v>0.09</v>
      </c>
      <c r="I944">
        <v>28.799999999999997</v>
      </c>
      <c r="J944" t="s">
        <v>13</v>
      </c>
    </row>
    <row r="945" spans="1:10" x14ac:dyDescent="0.25">
      <c r="A945" t="s">
        <v>975</v>
      </c>
      <c r="B945" s="1">
        <v>43282</v>
      </c>
      <c r="C945" t="s">
        <v>15</v>
      </c>
      <c r="D945" t="s">
        <v>27</v>
      </c>
      <c r="E945">
        <v>7</v>
      </c>
      <c r="F945">
        <v>40</v>
      </c>
      <c r="G945">
        <v>280</v>
      </c>
      <c r="H945">
        <v>7.0000000000000007E-2</v>
      </c>
      <c r="I945">
        <v>19.600000000000001</v>
      </c>
      <c r="J945" t="s">
        <v>17</v>
      </c>
    </row>
    <row r="946" spans="1:10" x14ac:dyDescent="0.25">
      <c r="A946" t="s">
        <v>976</v>
      </c>
      <c r="B946" s="1">
        <v>43282</v>
      </c>
      <c r="C946" t="s">
        <v>15</v>
      </c>
      <c r="D946" t="s">
        <v>16</v>
      </c>
      <c r="E946">
        <v>18</v>
      </c>
      <c r="F946">
        <v>40</v>
      </c>
      <c r="G946">
        <v>720</v>
      </c>
      <c r="H946">
        <v>0.08</v>
      </c>
      <c r="I946">
        <v>57.6</v>
      </c>
      <c r="J946" t="s">
        <v>20</v>
      </c>
    </row>
    <row r="947" spans="1:10" x14ac:dyDescent="0.25">
      <c r="A947" t="s">
        <v>977</v>
      </c>
      <c r="B947" s="1">
        <v>43282</v>
      </c>
      <c r="C947" t="s">
        <v>19</v>
      </c>
      <c r="D947" t="s">
        <v>27</v>
      </c>
      <c r="E947">
        <v>19</v>
      </c>
      <c r="F947">
        <v>230</v>
      </c>
      <c r="G947">
        <v>4370</v>
      </c>
      <c r="H947">
        <v>0.06</v>
      </c>
      <c r="I947">
        <v>262.2</v>
      </c>
      <c r="J947" t="s">
        <v>22</v>
      </c>
    </row>
    <row r="948" spans="1:10" x14ac:dyDescent="0.25">
      <c r="A948" t="s">
        <v>978</v>
      </c>
      <c r="B948" s="1">
        <v>43282</v>
      </c>
      <c r="C948" t="s">
        <v>34</v>
      </c>
      <c r="D948" t="s">
        <v>12</v>
      </c>
      <c r="E948">
        <v>4</v>
      </c>
      <c r="F948">
        <v>150</v>
      </c>
      <c r="G948">
        <v>600</v>
      </c>
      <c r="H948">
        <v>0.1</v>
      </c>
      <c r="I948">
        <v>60</v>
      </c>
      <c r="J948" t="s">
        <v>25</v>
      </c>
    </row>
    <row r="949" spans="1:10" x14ac:dyDescent="0.25">
      <c r="A949" t="s">
        <v>979</v>
      </c>
      <c r="B949" s="1">
        <v>43283</v>
      </c>
      <c r="C949" t="s">
        <v>11</v>
      </c>
      <c r="D949" t="s">
        <v>31</v>
      </c>
      <c r="E949">
        <v>9</v>
      </c>
      <c r="F949">
        <v>80</v>
      </c>
      <c r="G949">
        <v>720</v>
      </c>
      <c r="H949">
        <v>0.06</v>
      </c>
      <c r="I949">
        <v>43.199999999999996</v>
      </c>
      <c r="J949" t="s">
        <v>28</v>
      </c>
    </row>
    <row r="950" spans="1:10" x14ac:dyDescent="0.25">
      <c r="A950" t="s">
        <v>980</v>
      </c>
      <c r="B950" s="1">
        <v>43283</v>
      </c>
      <c r="C950" t="s">
        <v>11</v>
      </c>
      <c r="D950" t="s">
        <v>24</v>
      </c>
      <c r="E950">
        <v>16</v>
      </c>
      <c r="F950">
        <v>80</v>
      </c>
      <c r="G950">
        <v>1280</v>
      </c>
      <c r="H950">
        <v>0.02</v>
      </c>
      <c r="I950">
        <v>25.6</v>
      </c>
      <c r="J950" t="s">
        <v>17</v>
      </c>
    </row>
    <row r="951" spans="1:10" x14ac:dyDescent="0.25">
      <c r="A951" t="s">
        <v>981</v>
      </c>
      <c r="B951" s="1">
        <v>43283</v>
      </c>
      <c r="C951" t="s">
        <v>19</v>
      </c>
      <c r="D951" t="s">
        <v>16</v>
      </c>
      <c r="E951">
        <v>15</v>
      </c>
      <c r="F951">
        <v>230</v>
      </c>
      <c r="G951">
        <v>3450</v>
      </c>
      <c r="H951">
        <v>0.09</v>
      </c>
      <c r="I951">
        <v>310.5</v>
      </c>
      <c r="J951" t="s">
        <v>20</v>
      </c>
    </row>
    <row r="952" spans="1:10" x14ac:dyDescent="0.25">
      <c r="A952" t="s">
        <v>982</v>
      </c>
      <c r="B952" s="1">
        <v>43283</v>
      </c>
      <c r="C952" t="s">
        <v>30</v>
      </c>
      <c r="D952" t="s">
        <v>31</v>
      </c>
      <c r="E952">
        <v>15</v>
      </c>
      <c r="F952">
        <v>16</v>
      </c>
      <c r="G952">
        <v>240</v>
      </c>
      <c r="H952">
        <v>0.01</v>
      </c>
      <c r="I952">
        <v>2.4</v>
      </c>
      <c r="J952" t="s">
        <v>22</v>
      </c>
    </row>
    <row r="953" spans="1:10" x14ac:dyDescent="0.25">
      <c r="A953" t="s">
        <v>983</v>
      </c>
      <c r="B953" s="1">
        <v>43283</v>
      </c>
      <c r="C953" t="s">
        <v>19</v>
      </c>
      <c r="D953" t="s">
        <v>12</v>
      </c>
      <c r="E953">
        <v>7</v>
      </c>
      <c r="F953">
        <v>230</v>
      </c>
      <c r="G953">
        <v>1610</v>
      </c>
      <c r="H953">
        <v>0.02</v>
      </c>
      <c r="I953">
        <v>32.200000000000003</v>
      </c>
      <c r="J953" t="s">
        <v>25</v>
      </c>
    </row>
    <row r="954" spans="1:10" x14ac:dyDescent="0.25">
      <c r="A954" t="s">
        <v>984</v>
      </c>
      <c r="B954" s="1">
        <v>43283</v>
      </c>
      <c r="C954" t="s">
        <v>30</v>
      </c>
      <c r="D954" t="s">
        <v>24</v>
      </c>
      <c r="E954">
        <v>23</v>
      </c>
      <c r="F954">
        <v>16</v>
      </c>
      <c r="G954">
        <v>368</v>
      </c>
      <c r="H954">
        <v>0.11</v>
      </c>
      <c r="I954">
        <v>40.479999999999997</v>
      </c>
      <c r="J954" t="s">
        <v>28</v>
      </c>
    </row>
    <row r="955" spans="1:10" x14ac:dyDescent="0.25">
      <c r="A955" t="s">
        <v>985</v>
      </c>
      <c r="B955" s="1">
        <v>43283</v>
      </c>
      <c r="C955" t="s">
        <v>15</v>
      </c>
      <c r="D955" t="s">
        <v>31</v>
      </c>
      <c r="E955">
        <v>20</v>
      </c>
      <c r="F955">
        <v>40</v>
      </c>
      <c r="G955">
        <v>800</v>
      </c>
      <c r="H955">
        <v>0.05</v>
      </c>
      <c r="I955">
        <v>40</v>
      </c>
      <c r="J955" t="s">
        <v>32</v>
      </c>
    </row>
    <row r="956" spans="1:10" x14ac:dyDescent="0.25">
      <c r="A956" t="s">
        <v>986</v>
      </c>
      <c r="B956" s="1">
        <v>43284</v>
      </c>
      <c r="C956" t="s">
        <v>19</v>
      </c>
      <c r="D956" t="s">
        <v>16</v>
      </c>
      <c r="E956">
        <v>9</v>
      </c>
      <c r="F956">
        <v>230</v>
      </c>
      <c r="G956">
        <v>2070</v>
      </c>
      <c r="H956">
        <v>0.03</v>
      </c>
      <c r="I956">
        <v>62.099999999999994</v>
      </c>
      <c r="J956" t="s">
        <v>35</v>
      </c>
    </row>
    <row r="957" spans="1:10" x14ac:dyDescent="0.25">
      <c r="A957" t="s">
        <v>987</v>
      </c>
      <c r="B957" s="1">
        <v>43284</v>
      </c>
      <c r="C957" t="s">
        <v>15</v>
      </c>
      <c r="D957" t="s">
        <v>27</v>
      </c>
      <c r="E957">
        <v>23</v>
      </c>
      <c r="F957">
        <v>40</v>
      </c>
      <c r="G957">
        <v>920</v>
      </c>
      <c r="H957">
        <v>0.06</v>
      </c>
      <c r="I957">
        <v>55.199999999999996</v>
      </c>
      <c r="J957" t="s">
        <v>37</v>
      </c>
    </row>
    <row r="958" spans="1:10" x14ac:dyDescent="0.25">
      <c r="A958" t="s">
        <v>988</v>
      </c>
      <c r="B958" s="1">
        <v>43284</v>
      </c>
      <c r="C958" t="s">
        <v>15</v>
      </c>
      <c r="D958" t="s">
        <v>27</v>
      </c>
      <c r="E958">
        <v>4</v>
      </c>
      <c r="F958">
        <v>40</v>
      </c>
      <c r="G958">
        <v>160</v>
      </c>
      <c r="H958">
        <v>0.05</v>
      </c>
      <c r="I958">
        <v>8</v>
      </c>
      <c r="J958" t="s">
        <v>39</v>
      </c>
    </row>
    <row r="959" spans="1:10" x14ac:dyDescent="0.25">
      <c r="A959" t="s">
        <v>989</v>
      </c>
      <c r="B959" s="1">
        <v>43284</v>
      </c>
      <c r="C959" t="s">
        <v>34</v>
      </c>
      <c r="D959" t="s">
        <v>12</v>
      </c>
      <c r="E959">
        <v>13</v>
      </c>
      <c r="F959">
        <v>150</v>
      </c>
      <c r="G959">
        <v>1950</v>
      </c>
      <c r="H959">
        <v>0.05</v>
      </c>
      <c r="I959">
        <v>97.5</v>
      </c>
      <c r="J959" t="s">
        <v>41</v>
      </c>
    </row>
    <row r="960" spans="1:10" x14ac:dyDescent="0.25">
      <c r="A960" t="s">
        <v>990</v>
      </c>
      <c r="B960" s="1">
        <v>43284</v>
      </c>
      <c r="C960" t="s">
        <v>19</v>
      </c>
      <c r="D960" t="s">
        <v>16</v>
      </c>
      <c r="E960">
        <v>7</v>
      </c>
      <c r="F960">
        <v>230</v>
      </c>
      <c r="G960">
        <v>1610</v>
      </c>
      <c r="H960">
        <v>0.01</v>
      </c>
      <c r="I960">
        <v>16.100000000000001</v>
      </c>
      <c r="J960" t="s">
        <v>43</v>
      </c>
    </row>
    <row r="961" spans="1:10" x14ac:dyDescent="0.25">
      <c r="A961" t="s">
        <v>991</v>
      </c>
      <c r="B961" s="1">
        <v>43284</v>
      </c>
      <c r="C961" t="s">
        <v>19</v>
      </c>
      <c r="D961" t="s">
        <v>16</v>
      </c>
      <c r="E961">
        <v>7</v>
      </c>
      <c r="F961">
        <v>230</v>
      </c>
      <c r="G961">
        <v>1610</v>
      </c>
      <c r="H961">
        <v>0.08</v>
      </c>
      <c r="I961">
        <v>128.80000000000001</v>
      </c>
      <c r="J961" t="s">
        <v>13</v>
      </c>
    </row>
    <row r="962" spans="1:10" x14ac:dyDescent="0.25">
      <c r="A962" t="s">
        <v>992</v>
      </c>
      <c r="B962" s="1">
        <v>43284</v>
      </c>
      <c r="C962" t="s">
        <v>19</v>
      </c>
      <c r="D962" t="s">
        <v>24</v>
      </c>
      <c r="E962">
        <v>15</v>
      </c>
      <c r="F962">
        <v>230</v>
      </c>
      <c r="G962">
        <v>3450</v>
      </c>
      <c r="H962">
        <v>0.04</v>
      </c>
      <c r="I962">
        <v>138</v>
      </c>
      <c r="J962" t="s">
        <v>17</v>
      </c>
    </row>
    <row r="963" spans="1:10" x14ac:dyDescent="0.25">
      <c r="A963" t="s">
        <v>993</v>
      </c>
      <c r="B963" s="1">
        <v>43284</v>
      </c>
      <c r="C963" t="s">
        <v>15</v>
      </c>
      <c r="D963" t="s">
        <v>27</v>
      </c>
      <c r="E963">
        <v>15</v>
      </c>
      <c r="F963">
        <v>40</v>
      </c>
      <c r="G963">
        <v>600</v>
      </c>
      <c r="H963">
        <v>0.03</v>
      </c>
      <c r="I963">
        <v>18</v>
      </c>
      <c r="J963" t="s">
        <v>20</v>
      </c>
    </row>
    <row r="964" spans="1:10" x14ac:dyDescent="0.25">
      <c r="A964" t="s">
        <v>994</v>
      </c>
      <c r="B964" s="1">
        <v>43284</v>
      </c>
      <c r="C964" t="s">
        <v>15</v>
      </c>
      <c r="D964" t="s">
        <v>24</v>
      </c>
      <c r="E964">
        <v>2</v>
      </c>
      <c r="F964">
        <v>40</v>
      </c>
      <c r="G964">
        <v>80</v>
      </c>
      <c r="H964">
        <v>0.03</v>
      </c>
      <c r="I964">
        <v>2.4</v>
      </c>
      <c r="J964" t="s">
        <v>22</v>
      </c>
    </row>
    <row r="965" spans="1:10" x14ac:dyDescent="0.25">
      <c r="A965" t="s">
        <v>995</v>
      </c>
      <c r="B965" s="1">
        <v>43284</v>
      </c>
      <c r="C965" t="s">
        <v>34</v>
      </c>
      <c r="D965" t="s">
        <v>24</v>
      </c>
      <c r="E965">
        <v>2</v>
      </c>
      <c r="F965">
        <v>150</v>
      </c>
      <c r="G965">
        <v>300</v>
      </c>
      <c r="H965">
        <v>0.02</v>
      </c>
      <c r="I965">
        <v>6</v>
      </c>
      <c r="J965" t="s">
        <v>25</v>
      </c>
    </row>
    <row r="966" spans="1:10" x14ac:dyDescent="0.25">
      <c r="A966" t="s">
        <v>996</v>
      </c>
      <c r="B966" s="1">
        <v>43285</v>
      </c>
      <c r="C966" t="s">
        <v>19</v>
      </c>
      <c r="D966" t="s">
        <v>12</v>
      </c>
      <c r="E966">
        <v>3</v>
      </c>
      <c r="F966">
        <v>230</v>
      </c>
      <c r="G966">
        <v>690</v>
      </c>
      <c r="H966">
        <v>0.11</v>
      </c>
      <c r="I966">
        <v>75.900000000000006</v>
      </c>
      <c r="J966" t="s">
        <v>28</v>
      </c>
    </row>
    <row r="967" spans="1:10" x14ac:dyDescent="0.25">
      <c r="A967" t="s">
        <v>997</v>
      </c>
      <c r="B967" s="1">
        <v>43285</v>
      </c>
      <c r="C967" t="s">
        <v>15</v>
      </c>
      <c r="D967" t="s">
        <v>24</v>
      </c>
      <c r="E967">
        <v>4</v>
      </c>
      <c r="F967">
        <v>40</v>
      </c>
      <c r="G967">
        <v>160</v>
      </c>
      <c r="H967">
        <v>0.06</v>
      </c>
      <c r="I967">
        <v>9.6</v>
      </c>
      <c r="J967" t="s">
        <v>17</v>
      </c>
    </row>
    <row r="968" spans="1:10" x14ac:dyDescent="0.25">
      <c r="A968" t="s">
        <v>998</v>
      </c>
      <c r="B968" s="1">
        <v>43285</v>
      </c>
      <c r="C968" t="s">
        <v>15</v>
      </c>
      <c r="D968" t="s">
        <v>27</v>
      </c>
      <c r="E968">
        <v>13</v>
      </c>
      <c r="F968">
        <v>40</v>
      </c>
      <c r="G968">
        <v>520</v>
      </c>
      <c r="H968">
        <v>0.06</v>
      </c>
      <c r="I968">
        <v>31.2</v>
      </c>
      <c r="J968" t="s">
        <v>20</v>
      </c>
    </row>
    <row r="969" spans="1:10" x14ac:dyDescent="0.25">
      <c r="A969" t="s">
        <v>999</v>
      </c>
      <c r="B969" s="1">
        <v>43285</v>
      </c>
      <c r="C969" t="s">
        <v>30</v>
      </c>
      <c r="D969" t="s">
        <v>27</v>
      </c>
      <c r="E969">
        <v>15</v>
      </c>
      <c r="F969">
        <v>16</v>
      </c>
      <c r="G969">
        <v>240</v>
      </c>
      <c r="H969">
        <v>0.12</v>
      </c>
      <c r="I969">
        <v>28.799999999999997</v>
      </c>
      <c r="J969" t="s">
        <v>22</v>
      </c>
    </row>
    <row r="970" spans="1:10" x14ac:dyDescent="0.25">
      <c r="A970" t="s">
        <v>1000</v>
      </c>
      <c r="B970" s="1">
        <v>43285</v>
      </c>
      <c r="C970" t="s">
        <v>11</v>
      </c>
      <c r="D970" t="s">
        <v>12</v>
      </c>
      <c r="E970">
        <v>14</v>
      </c>
      <c r="F970">
        <v>80</v>
      </c>
      <c r="G970">
        <v>1120</v>
      </c>
      <c r="H970">
        <v>0.08</v>
      </c>
      <c r="I970">
        <v>89.600000000000009</v>
      </c>
      <c r="J970" t="s">
        <v>25</v>
      </c>
    </row>
    <row r="971" spans="1:10" x14ac:dyDescent="0.25">
      <c r="A971" t="s">
        <v>1001</v>
      </c>
      <c r="B971" s="1">
        <v>43285</v>
      </c>
      <c r="C971" t="s">
        <v>30</v>
      </c>
      <c r="D971" t="s">
        <v>12</v>
      </c>
      <c r="E971">
        <v>7</v>
      </c>
      <c r="F971">
        <v>16</v>
      </c>
      <c r="G971">
        <v>112</v>
      </c>
      <c r="H971">
        <v>0.08</v>
      </c>
      <c r="I971">
        <v>8.9600000000000009</v>
      </c>
      <c r="J971" t="s">
        <v>28</v>
      </c>
    </row>
    <row r="972" spans="1:10" x14ac:dyDescent="0.25">
      <c r="A972" t="s">
        <v>1002</v>
      </c>
      <c r="B972" s="1">
        <v>43285</v>
      </c>
      <c r="C972" t="s">
        <v>34</v>
      </c>
      <c r="D972" t="s">
        <v>16</v>
      </c>
      <c r="E972">
        <v>13</v>
      </c>
      <c r="F972">
        <v>150</v>
      </c>
      <c r="G972">
        <v>1950</v>
      </c>
      <c r="H972">
        <v>0.02</v>
      </c>
      <c r="I972">
        <v>39</v>
      </c>
      <c r="J972" t="s">
        <v>32</v>
      </c>
    </row>
    <row r="973" spans="1:10" x14ac:dyDescent="0.25">
      <c r="A973" t="s">
        <v>1003</v>
      </c>
      <c r="B973" s="1">
        <v>43285</v>
      </c>
      <c r="C973" t="s">
        <v>34</v>
      </c>
      <c r="D973" t="s">
        <v>24</v>
      </c>
      <c r="E973">
        <v>9</v>
      </c>
      <c r="F973">
        <v>150</v>
      </c>
      <c r="G973">
        <v>1350</v>
      </c>
      <c r="H973">
        <v>0.02</v>
      </c>
      <c r="I973">
        <v>27</v>
      </c>
      <c r="J973" t="s">
        <v>35</v>
      </c>
    </row>
    <row r="974" spans="1:10" x14ac:dyDescent="0.25">
      <c r="A974" t="s">
        <v>1004</v>
      </c>
      <c r="B974" s="1">
        <v>43285</v>
      </c>
      <c r="C974" t="s">
        <v>15</v>
      </c>
      <c r="D974" t="s">
        <v>12</v>
      </c>
      <c r="E974">
        <v>9</v>
      </c>
      <c r="F974">
        <v>40</v>
      </c>
      <c r="G974">
        <v>360</v>
      </c>
      <c r="H974">
        <v>0.01</v>
      </c>
      <c r="I974">
        <v>3.6</v>
      </c>
      <c r="J974" t="s">
        <v>37</v>
      </c>
    </row>
    <row r="975" spans="1:10" x14ac:dyDescent="0.25">
      <c r="A975" t="s">
        <v>1005</v>
      </c>
      <c r="B975" s="1">
        <v>43286</v>
      </c>
      <c r="C975" t="s">
        <v>11</v>
      </c>
      <c r="D975" t="s">
        <v>31</v>
      </c>
      <c r="E975">
        <v>9</v>
      </c>
      <c r="F975">
        <v>80</v>
      </c>
      <c r="G975">
        <v>720</v>
      </c>
      <c r="H975">
        <v>7.0000000000000007E-2</v>
      </c>
      <c r="I975">
        <v>50.400000000000006</v>
      </c>
      <c r="J975" t="s">
        <v>39</v>
      </c>
    </row>
    <row r="976" spans="1:10" x14ac:dyDescent="0.25">
      <c r="A976" t="s">
        <v>1006</v>
      </c>
      <c r="B976" s="1">
        <v>43286</v>
      </c>
      <c r="C976" t="s">
        <v>19</v>
      </c>
      <c r="D976" t="s">
        <v>16</v>
      </c>
      <c r="E976">
        <v>22</v>
      </c>
      <c r="F976">
        <v>230</v>
      </c>
      <c r="G976">
        <v>5060</v>
      </c>
      <c r="H976">
        <v>0.11</v>
      </c>
      <c r="I976">
        <v>556.6</v>
      </c>
      <c r="J976" t="s">
        <v>41</v>
      </c>
    </row>
    <row r="977" spans="1:10" x14ac:dyDescent="0.25">
      <c r="A977" t="s">
        <v>1007</v>
      </c>
      <c r="B977" s="1">
        <v>43286</v>
      </c>
      <c r="C977" t="s">
        <v>34</v>
      </c>
      <c r="D977" t="s">
        <v>16</v>
      </c>
      <c r="E977">
        <v>15</v>
      </c>
      <c r="F977">
        <v>150</v>
      </c>
      <c r="G977">
        <v>2250</v>
      </c>
      <c r="H977">
        <v>0.02</v>
      </c>
      <c r="I977">
        <v>45</v>
      </c>
      <c r="J977" t="s">
        <v>43</v>
      </c>
    </row>
    <row r="978" spans="1:10" x14ac:dyDescent="0.25">
      <c r="A978" t="s">
        <v>1008</v>
      </c>
      <c r="B978" s="1">
        <v>43286</v>
      </c>
      <c r="C978" t="s">
        <v>19</v>
      </c>
      <c r="D978" t="s">
        <v>31</v>
      </c>
      <c r="E978">
        <v>5</v>
      </c>
      <c r="F978">
        <v>230</v>
      </c>
      <c r="G978">
        <v>1150</v>
      </c>
      <c r="H978">
        <v>0.12</v>
      </c>
      <c r="I978">
        <v>138</v>
      </c>
      <c r="J978" t="s">
        <v>13</v>
      </c>
    </row>
    <row r="979" spans="1:10" x14ac:dyDescent="0.25">
      <c r="A979" t="s">
        <v>1009</v>
      </c>
      <c r="B979" s="1">
        <v>43286</v>
      </c>
      <c r="C979" t="s">
        <v>15</v>
      </c>
      <c r="D979" t="s">
        <v>24</v>
      </c>
      <c r="E979">
        <v>20</v>
      </c>
      <c r="F979">
        <v>40</v>
      </c>
      <c r="G979">
        <v>800</v>
      </c>
      <c r="H979">
        <v>0.01</v>
      </c>
      <c r="I979">
        <v>8</v>
      </c>
      <c r="J979" t="s">
        <v>17</v>
      </c>
    </row>
    <row r="980" spans="1:10" x14ac:dyDescent="0.25">
      <c r="A980" t="s">
        <v>1010</v>
      </c>
      <c r="B980" s="1">
        <v>43286</v>
      </c>
      <c r="C980" t="s">
        <v>15</v>
      </c>
      <c r="D980" t="s">
        <v>12</v>
      </c>
      <c r="E980">
        <v>23</v>
      </c>
      <c r="F980">
        <v>40</v>
      </c>
      <c r="G980">
        <v>920</v>
      </c>
      <c r="H980">
        <v>0.03</v>
      </c>
      <c r="I980">
        <v>27.599999999999998</v>
      </c>
      <c r="J980" t="s">
        <v>20</v>
      </c>
    </row>
    <row r="981" spans="1:10" x14ac:dyDescent="0.25">
      <c r="A981" t="s">
        <v>1011</v>
      </c>
      <c r="B981" s="1">
        <v>43286</v>
      </c>
      <c r="C981" t="s">
        <v>11</v>
      </c>
      <c r="D981" t="s">
        <v>31</v>
      </c>
      <c r="E981">
        <v>16</v>
      </c>
      <c r="F981">
        <v>80</v>
      </c>
      <c r="G981">
        <v>1280</v>
      </c>
      <c r="H981">
        <v>0.05</v>
      </c>
      <c r="I981">
        <v>64</v>
      </c>
      <c r="J981" t="s">
        <v>22</v>
      </c>
    </row>
    <row r="982" spans="1:10" x14ac:dyDescent="0.25">
      <c r="A982" t="s">
        <v>1012</v>
      </c>
      <c r="B982" s="1">
        <v>43286</v>
      </c>
      <c r="C982" t="s">
        <v>19</v>
      </c>
      <c r="D982" t="s">
        <v>24</v>
      </c>
      <c r="E982">
        <v>18</v>
      </c>
      <c r="F982">
        <v>230</v>
      </c>
      <c r="G982">
        <v>4140</v>
      </c>
      <c r="H982">
        <v>0.01</v>
      </c>
      <c r="I982">
        <v>41.4</v>
      </c>
      <c r="J982" t="s">
        <v>25</v>
      </c>
    </row>
    <row r="983" spans="1:10" x14ac:dyDescent="0.25">
      <c r="A983" t="s">
        <v>1013</v>
      </c>
      <c r="B983" s="1">
        <v>43286</v>
      </c>
      <c r="C983" t="s">
        <v>15</v>
      </c>
      <c r="D983" t="s">
        <v>31</v>
      </c>
      <c r="E983">
        <v>23</v>
      </c>
      <c r="F983">
        <v>40</v>
      </c>
      <c r="G983">
        <v>920</v>
      </c>
      <c r="H983">
        <v>0.05</v>
      </c>
      <c r="I983">
        <v>46</v>
      </c>
      <c r="J983" t="s">
        <v>28</v>
      </c>
    </row>
    <row r="984" spans="1:10" x14ac:dyDescent="0.25">
      <c r="A984" t="s">
        <v>1014</v>
      </c>
      <c r="B984" s="1">
        <v>43286</v>
      </c>
      <c r="C984" t="s">
        <v>30</v>
      </c>
      <c r="D984" t="s">
        <v>27</v>
      </c>
      <c r="E984">
        <v>5</v>
      </c>
      <c r="F984">
        <v>16</v>
      </c>
      <c r="G984">
        <v>80</v>
      </c>
      <c r="H984">
        <v>0.09</v>
      </c>
      <c r="I984">
        <v>7.1999999999999993</v>
      </c>
      <c r="J984" t="s">
        <v>17</v>
      </c>
    </row>
    <row r="985" spans="1:10" x14ac:dyDescent="0.25">
      <c r="A985" t="s">
        <v>1015</v>
      </c>
      <c r="B985" s="1">
        <v>43286</v>
      </c>
      <c r="C985" t="s">
        <v>15</v>
      </c>
      <c r="D985" t="s">
        <v>12</v>
      </c>
      <c r="E985">
        <v>22</v>
      </c>
      <c r="F985">
        <v>40</v>
      </c>
      <c r="G985">
        <v>880</v>
      </c>
      <c r="H985">
        <v>0.02</v>
      </c>
      <c r="I985">
        <v>17.600000000000001</v>
      </c>
      <c r="J985" t="s">
        <v>20</v>
      </c>
    </row>
    <row r="986" spans="1:10" x14ac:dyDescent="0.25">
      <c r="A986" t="s">
        <v>1016</v>
      </c>
      <c r="B986" s="1">
        <v>43287</v>
      </c>
      <c r="C986" t="s">
        <v>34</v>
      </c>
      <c r="D986" t="s">
        <v>12</v>
      </c>
      <c r="E986">
        <v>23</v>
      </c>
      <c r="F986">
        <v>150</v>
      </c>
      <c r="G986">
        <v>3450</v>
      </c>
      <c r="H986">
        <v>0.1</v>
      </c>
      <c r="I986">
        <v>345</v>
      </c>
      <c r="J986" t="s">
        <v>22</v>
      </c>
    </row>
    <row r="987" spans="1:10" x14ac:dyDescent="0.25">
      <c r="A987" t="s">
        <v>1017</v>
      </c>
      <c r="B987" s="1">
        <v>43287</v>
      </c>
      <c r="C987" t="s">
        <v>19</v>
      </c>
      <c r="D987" t="s">
        <v>16</v>
      </c>
      <c r="E987">
        <v>22</v>
      </c>
      <c r="F987">
        <v>230</v>
      </c>
      <c r="G987">
        <v>5060</v>
      </c>
      <c r="H987">
        <v>0.04</v>
      </c>
      <c r="I987">
        <v>202.4</v>
      </c>
      <c r="J987" t="s">
        <v>25</v>
      </c>
    </row>
    <row r="988" spans="1:10" x14ac:dyDescent="0.25">
      <c r="A988" t="s">
        <v>1018</v>
      </c>
      <c r="B988" s="1">
        <v>43287</v>
      </c>
      <c r="C988" t="s">
        <v>11</v>
      </c>
      <c r="D988" t="s">
        <v>27</v>
      </c>
      <c r="E988">
        <v>16</v>
      </c>
      <c r="F988">
        <v>80</v>
      </c>
      <c r="G988">
        <v>1280</v>
      </c>
      <c r="H988">
        <v>7.0000000000000007E-2</v>
      </c>
      <c r="I988">
        <v>89.600000000000009</v>
      </c>
      <c r="J988" t="s">
        <v>28</v>
      </c>
    </row>
    <row r="989" spans="1:10" x14ac:dyDescent="0.25">
      <c r="A989" t="s">
        <v>1019</v>
      </c>
      <c r="B989" s="1">
        <v>43287</v>
      </c>
      <c r="C989" t="s">
        <v>34</v>
      </c>
      <c r="D989" t="s">
        <v>24</v>
      </c>
      <c r="E989">
        <v>22</v>
      </c>
      <c r="F989">
        <v>150</v>
      </c>
      <c r="G989">
        <v>3300</v>
      </c>
      <c r="H989">
        <v>0.09</v>
      </c>
      <c r="I989">
        <v>297</v>
      </c>
      <c r="J989" t="s">
        <v>32</v>
      </c>
    </row>
    <row r="990" spans="1:10" x14ac:dyDescent="0.25">
      <c r="A990" t="s">
        <v>1020</v>
      </c>
      <c r="B990" s="1">
        <v>43287</v>
      </c>
      <c r="C990" t="s">
        <v>11</v>
      </c>
      <c r="D990" t="s">
        <v>24</v>
      </c>
      <c r="E990">
        <v>5</v>
      </c>
      <c r="F990">
        <v>80</v>
      </c>
      <c r="G990">
        <v>400</v>
      </c>
      <c r="H990">
        <v>0.09</v>
      </c>
      <c r="I990">
        <v>36</v>
      </c>
      <c r="J990" t="s">
        <v>35</v>
      </c>
    </row>
    <row r="991" spans="1:10" x14ac:dyDescent="0.25">
      <c r="A991" t="s">
        <v>1021</v>
      </c>
      <c r="B991" s="1">
        <v>43287</v>
      </c>
      <c r="C991" t="s">
        <v>11</v>
      </c>
      <c r="D991" t="s">
        <v>27</v>
      </c>
      <c r="E991">
        <v>16</v>
      </c>
      <c r="F991">
        <v>80</v>
      </c>
      <c r="G991">
        <v>1280</v>
      </c>
      <c r="H991">
        <v>0.1</v>
      </c>
      <c r="I991">
        <v>128</v>
      </c>
      <c r="J991" t="s">
        <v>37</v>
      </c>
    </row>
    <row r="992" spans="1:10" x14ac:dyDescent="0.25">
      <c r="A992" t="s">
        <v>1022</v>
      </c>
      <c r="B992" s="1">
        <v>43287</v>
      </c>
      <c r="C992" t="s">
        <v>34</v>
      </c>
      <c r="D992" t="s">
        <v>16</v>
      </c>
      <c r="E992">
        <v>23</v>
      </c>
      <c r="F992">
        <v>150</v>
      </c>
      <c r="G992">
        <v>3450</v>
      </c>
      <c r="H992">
        <v>0.11</v>
      </c>
      <c r="I992">
        <v>379.5</v>
      </c>
      <c r="J992" t="s">
        <v>39</v>
      </c>
    </row>
    <row r="993" spans="1:10" x14ac:dyDescent="0.25">
      <c r="A993" t="s">
        <v>1023</v>
      </c>
      <c r="B993" s="1">
        <v>43287</v>
      </c>
      <c r="C993" t="s">
        <v>30</v>
      </c>
      <c r="D993" t="s">
        <v>16</v>
      </c>
      <c r="E993">
        <v>4</v>
      </c>
      <c r="F993">
        <v>16</v>
      </c>
      <c r="G993">
        <v>64</v>
      </c>
      <c r="H993">
        <v>0.09</v>
      </c>
      <c r="I993">
        <v>5.76</v>
      </c>
      <c r="J993" t="s">
        <v>41</v>
      </c>
    </row>
    <row r="994" spans="1:10" x14ac:dyDescent="0.25">
      <c r="A994" t="s">
        <v>1024</v>
      </c>
      <c r="B994" s="1">
        <v>43287</v>
      </c>
      <c r="C994" t="s">
        <v>30</v>
      </c>
      <c r="D994" t="s">
        <v>16</v>
      </c>
      <c r="E994">
        <v>4</v>
      </c>
      <c r="F994">
        <v>16</v>
      </c>
      <c r="G994">
        <v>64</v>
      </c>
      <c r="H994">
        <v>7.0000000000000007E-2</v>
      </c>
      <c r="I994">
        <v>4.4800000000000004</v>
      </c>
      <c r="J994" t="s">
        <v>43</v>
      </c>
    </row>
    <row r="995" spans="1:10" x14ac:dyDescent="0.25">
      <c r="A995" t="s">
        <v>1025</v>
      </c>
      <c r="B995" s="1">
        <v>43287</v>
      </c>
      <c r="C995" t="s">
        <v>30</v>
      </c>
      <c r="D995" t="s">
        <v>12</v>
      </c>
      <c r="E995">
        <v>16</v>
      </c>
      <c r="F995">
        <v>16</v>
      </c>
      <c r="G995">
        <v>256</v>
      </c>
      <c r="H995">
        <v>0.03</v>
      </c>
      <c r="I995">
        <v>7.68</v>
      </c>
      <c r="J995" t="s">
        <v>13</v>
      </c>
    </row>
    <row r="996" spans="1:10" x14ac:dyDescent="0.25">
      <c r="A996" t="s">
        <v>1026</v>
      </c>
      <c r="B996" s="1">
        <v>43287</v>
      </c>
      <c r="C996" t="s">
        <v>15</v>
      </c>
      <c r="D996" t="s">
        <v>27</v>
      </c>
      <c r="E996">
        <v>18</v>
      </c>
      <c r="F996">
        <v>40</v>
      </c>
      <c r="G996">
        <v>720</v>
      </c>
      <c r="H996">
        <v>0.04</v>
      </c>
      <c r="I996">
        <v>28.8</v>
      </c>
      <c r="J996" t="s">
        <v>17</v>
      </c>
    </row>
    <row r="997" spans="1:10" x14ac:dyDescent="0.25">
      <c r="A997" t="s">
        <v>1027</v>
      </c>
      <c r="B997" s="1">
        <v>43287</v>
      </c>
      <c r="C997" t="s">
        <v>11</v>
      </c>
      <c r="D997" t="s">
        <v>27</v>
      </c>
      <c r="E997">
        <v>21</v>
      </c>
      <c r="F997">
        <v>80</v>
      </c>
      <c r="G997">
        <v>1680</v>
      </c>
      <c r="H997">
        <v>0.02</v>
      </c>
      <c r="I997">
        <v>33.6</v>
      </c>
      <c r="J997" t="s">
        <v>20</v>
      </c>
    </row>
    <row r="998" spans="1:10" x14ac:dyDescent="0.25">
      <c r="A998" t="s">
        <v>1028</v>
      </c>
      <c r="B998" s="1">
        <v>43287</v>
      </c>
      <c r="C998" t="s">
        <v>11</v>
      </c>
      <c r="D998" t="s">
        <v>31</v>
      </c>
      <c r="E998">
        <v>10</v>
      </c>
      <c r="F998">
        <v>80</v>
      </c>
      <c r="G998">
        <v>800</v>
      </c>
      <c r="H998">
        <v>0.06</v>
      </c>
      <c r="I998">
        <v>48</v>
      </c>
      <c r="J998" t="s">
        <v>22</v>
      </c>
    </row>
    <row r="999" spans="1:10" x14ac:dyDescent="0.25">
      <c r="A999" t="s">
        <v>1029</v>
      </c>
      <c r="B999" s="1">
        <v>43287</v>
      </c>
      <c r="C999" t="s">
        <v>19</v>
      </c>
      <c r="D999" t="s">
        <v>24</v>
      </c>
      <c r="E999">
        <v>7</v>
      </c>
      <c r="F999">
        <v>230</v>
      </c>
      <c r="G999">
        <v>1610</v>
      </c>
      <c r="H999">
        <v>0.01</v>
      </c>
      <c r="I999">
        <v>16.100000000000001</v>
      </c>
      <c r="J999" t="s">
        <v>25</v>
      </c>
    </row>
    <row r="1000" spans="1:10" x14ac:dyDescent="0.25">
      <c r="A1000" t="s">
        <v>1030</v>
      </c>
      <c r="B1000" s="1">
        <v>43288</v>
      </c>
      <c r="C1000" t="s">
        <v>30</v>
      </c>
      <c r="D1000" t="s">
        <v>31</v>
      </c>
      <c r="E1000">
        <v>11</v>
      </c>
      <c r="F1000">
        <v>16</v>
      </c>
      <c r="G1000">
        <v>176</v>
      </c>
      <c r="H1000">
        <v>0.12</v>
      </c>
      <c r="I1000">
        <v>21.119999999999997</v>
      </c>
      <c r="J1000" t="s">
        <v>28</v>
      </c>
    </row>
    <row r="1001" spans="1:10" x14ac:dyDescent="0.25">
      <c r="A1001" t="s">
        <v>1031</v>
      </c>
      <c r="B1001" s="1">
        <v>43288</v>
      </c>
      <c r="C1001" t="s">
        <v>11</v>
      </c>
      <c r="D1001" t="s">
        <v>27</v>
      </c>
      <c r="E1001">
        <v>10</v>
      </c>
      <c r="F1001">
        <v>80</v>
      </c>
      <c r="G1001">
        <v>800</v>
      </c>
      <c r="H1001">
        <v>0.1</v>
      </c>
      <c r="I1001">
        <v>80</v>
      </c>
      <c r="J1001" t="s">
        <v>17</v>
      </c>
    </row>
    <row r="1002" spans="1:10" x14ac:dyDescent="0.25">
      <c r="A1002" t="s">
        <v>1032</v>
      </c>
      <c r="B1002" s="1">
        <v>43288</v>
      </c>
      <c r="C1002" t="s">
        <v>15</v>
      </c>
      <c r="D1002" t="s">
        <v>16</v>
      </c>
      <c r="E1002">
        <v>23</v>
      </c>
      <c r="F1002">
        <v>40</v>
      </c>
      <c r="G1002">
        <v>920</v>
      </c>
      <c r="H1002">
        <v>0.06</v>
      </c>
      <c r="I1002">
        <v>55.199999999999996</v>
      </c>
      <c r="J1002" t="s">
        <v>20</v>
      </c>
    </row>
    <row r="1003" spans="1:10" x14ac:dyDescent="0.25">
      <c r="A1003" t="s">
        <v>1033</v>
      </c>
      <c r="B1003" s="1">
        <v>43288</v>
      </c>
      <c r="C1003" t="s">
        <v>34</v>
      </c>
      <c r="D1003" t="s">
        <v>31</v>
      </c>
      <c r="E1003">
        <v>7</v>
      </c>
      <c r="F1003">
        <v>150</v>
      </c>
      <c r="G1003">
        <v>1050</v>
      </c>
      <c r="H1003">
        <v>0.02</v>
      </c>
      <c r="I1003">
        <v>21</v>
      </c>
      <c r="J1003" t="s">
        <v>22</v>
      </c>
    </row>
    <row r="1004" spans="1:10" x14ac:dyDescent="0.25">
      <c r="A1004" t="s">
        <v>1034</v>
      </c>
      <c r="B1004" s="1">
        <v>43288</v>
      </c>
      <c r="C1004" t="s">
        <v>11</v>
      </c>
      <c r="D1004" t="s">
        <v>12</v>
      </c>
      <c r="E1004">
        <v>17</v>
      </c>
      <c r="F1004">
        <v>80</v>
      </c>
      <c r="G1004">
        <v>1360</v>
      </c>
      <c r="H1004">
        <v>7.0000000000000007E-2</v>
      </c>
      <c r="I1004">
        <v>95.2</v>
      </c>
      <c r="J1004" t="s">
        <v>25</v>
      </c>
    </row>
    <row r="1005" spans="1:10" x14ac:dyDescent="0.25">
      <c r="A1005" t="s">
        <v>1035</v>
      </c>
      <c r="B1005" s="1">
        <v>43288</v>
      </c>
      <c r="C1005" t="s">
        <v>34</v>
      </c>
      <c r="D1005" t="s">
        <v>16</v>
      </c>
      <c r="E1005">
        <v>20</v>
      </c>
      <c r="F1005">
        <v>150</v>
      </c>
      <c r="G1005">
        <v>3000</v>
      </c>
      <c r="H1005">
        <v>0.09</v>
      </c>
      <c r="I1005">
        <v>270</v>
      </c>
      <c r="J1005" t="s">
        <v>28</v>
      </c>
    </row>
    <row r="1006" spans="1:10" x14ac:dyDescent="0.25">
      <c r="A1006" t="s">
        <v>1036</v>
      </c>
      <c r="B1006" s="1">
        <v>43288</v>
      </c>
      <c r="C1006" t="s">
        <v>19</v>
      </c>
      <c r="D1006" t="s">
        <v>27</v>
      </c>
      <c r="E1006">
        <v>23</v>
      </c>
      <c r="F1006">
        <v>230</v>
      </c>
      <c r="G1006">
        <v>5290</v>
      </c>
      <c r="H1006">
        <v>0.06</v>
      </c>
      <c r="I1006">
        <v>317.39999999999998</v>
      </c>
      <c r="J1006" t="s">
        <v>32</v>
      </c>
    </row>
    <row r="1007" spans="1:10" x14ac:dyDescent="0.25">
      <c r="A1007" t="s">
        <v>1037</v>
      </c>
      <c r="B1007" s="1">
        <v>43288</v>
      </c>
      <c r="C1007" t="s">
        <v>11</v>
      </c>
      <c r="D1007" t="s">
        <v>16</v>
      </c>
      <c r="E1007">
        <v>16</v>
      </c>
      <c r="F1007">
        <v>80</v>
      </c>
      <c r="G1007">
        <v>1280</v>
      </c>
      <c r="H1007">
        <v>0.04</v>
      </c>
      <c r="I1007">
        <v>51.2</v>
      </c>
      <c r="J1007" t="s">
        <v>35</v>
      </c>
    </row>
    <row r="1008" spans="1:10" x14ac:dyDescent="0.25">
      <c r="A1008" t="s">
        <v>1038</v>
      </c>
      <c r="B1008" s="1">
        <v>43288</v>
      </c>
      <c r="C1008" t="s">
        <v>19</v>
      </c>
      <c r="D1008" t="s">
        <v>31</v>
      </c>
      <c r="E1008">
        <v>22</v>
      </c>
      <c r="F1008">
        <v>230</v>
      </c>
      <c r="G1008">
        <v>5060</v>
      </c>
      <c r="H1008">
        <v>0.1</v>
      </c>
      <c r="I1008">
        <v>506</v>
      </c>
      <c r="J1008" t="s">
        <v>37</v>
      </c>
    </row>
    <row r="1009" spans="1:10" x14ac:dyDescent="0.25">
      <c r="A1009" t="s">
        <v>1039</v>
      </c>
      <c r="B1009" s="1">
        <v>43288</v>
      </c>
      <c r="C1009" t="s">
        <v>19</v>
      </c>
      <c r="D1009" t="s">
        <v>24</v>
      </c>
      <c r="E1009">
        <v>15</v>
      </c>
      <c r="F1009">
        <v>230</v>
      </c>
      <c r="G1009">
        <v>3450</v>
      </c>
      <c r="H1009">
        <v>0.11</v>
      </c>
      <c r="I1009">
        <v>379.5</v>
      </c>
      <c r="J1009" t="s">
        <v>39</v>
      </c>
    </row>
    <row r="1010" spans="1:10" x14ac:dyDescent="0.25">
      <c r="A1010" t="s">
        <v>1040</v>
      </c>
      <c r="B1010" s="1">
        <v>43288</v>
      </c>
      <c r="C1010" t="s">
        <v>15</v>
      </c>
      <c r="D1010" t="s">
        <v>16</v>
      </c>
      <c r="E1010">
        <v>15</v>
      </c>
      <c r="F1010">
        <v>40</v>
      </c>
      <c r="G1010">
        <v>600</v>
      </c>
      <c r="H1010">
        <v>0.04</v>
      </c>
      <c r="I1010">
        <v>24</v>
      </c>
      <c r="J1010" t="s">
        <v>41</v>
      </c>
    </row>
    <row r="1011" spans="1:10" x14ac:dyDescent="0.25">
      <c r="A1011" t="s">
        <v>1041</v>
      </c>
      <c r="B1011" s="1">
        <v>43288</v>
      </c>
      <c r="C1011" t="s">
        <v>11</v>
      </c>
      <c r="D1011" t="s">
        <v>16</v>
      </c>
      <c r="E1011">
        <v>2</v>
      </c>
      <c r="F1011">
        <v>80</v>
      </c>
      <c r="G1011">
        <v>160</v>
      </c>
      <c r="H1011">
        <v>7.0000000000000007E-2</v>
      </c>
      <c r="I1011">
        <v>11.200000000000001</v>
      </c>
      <c r="J1011" t="s">
        <v>43</v>
      </c>
    </row>
    <row r="1012" spans="1:10" x14ac:dyDescent="0.25">
      <c r="A1012" t="s">
        <v>1042</v>
      </c>
      <c r="B1012" s="1">
        <v>43289</v>
      </c>
      <c r="C1012" t="s">
        <v>34</v>
      </c>
      <c r="D1012" t="s">
        <v>12</v>
      </c>
      <c r="E1012">
        <v>22</v>
      </c>
      <c r="F1012">
        <v>150</v>
      </c>
      <c r="G1012">
        <v>3300</v>
      </c>
      <c r="H1012">
        <v>0.05</v>
      </c>
      <c r="I1012">
        <v>165</v>
      </c>
      <c r="J1012" t="s">
        <v>13</v>
      </c>
    </row>
    <row r="1013" spans="1:10" x14ac:dyDescent="0.25">
      <c r="A1013" t="s">
        <v>1043</v>
      </c>
      <c r="B1013" s="1">
        <v>43289</v>
      </c>
      <c r="C1013" t="s">
        <v>15</v>
      </c>
      <c r="D1013" t="s">
        <v>31</v>
      </c>
      <c r="E1013">
        <v>20</v>
      </c>
      <c r="F1013">
        <v>40</v>
      </c>
      <c r="G1013">
        <v>800</v>
      </c>
      <c r="H1013">
        <v>7.0000000000000007E-2</v>
      </c>
      <c r="I1013">
        <v>56.000000000000007</v>
      </c>
      <c r="J1013" t="s">
        <v>17</v>
      </c>
    </row>
    <row r="1014" spans="1:10" x14ac:dyDescent="0.25">
      <c r="A1014" t="s">
        <v>1044</v>
      </c>
      <c r="B1014" s="1">
        <v>43289</v>
      </c>
      <c r="C1014" t="s">
        <v>19</v>
      </c>
      <c r="D1014" t="s">
        <v>27</v>
      </c>
      <c r="E1014">
        <v>2</v>
      </c>
      <c r="F1014">
        <v>230</v>
      </c>
      <c r="G1014">
        <v>460</v>
      </c>
      <c r="H1014">
        <v>0.09</v>
      </c>
      <c r="I1014">
        <v>41.4</v>
      </c>
      <c r="J1014" t="s">
        <v>20</v>
      </c>
    </row>
    <row r="1015" spans="1:10" x14ac:dyDescent="0.25">
      <c r="A1015" t="s">
        <v>1045</v>
      </c>
      <c r="B1015" s="1">
        <v>43289</v>
      </c>
      <c r="C1015" t="s">
        <v>15</v>
      </c>
      <c r="D1015" t="s">
        <v>27</v>
      </c>
      <c r="E1015">
        <v>7</v>
      </c>
      <c r="F1015">
        <v>40</v>
      </c>
      <c r="G1015">
        <v>280</v>
      </c>
      <c r="H1015">
        <v>0.11</v>
      </c>
      <c r="I1015">
        <v>30.8</v>
      </c>
      <c r="J1015" t="s">
        <v>22</v>
      </c>
    </row>
    <row r="1016" spans="1:10" x14ac:dyDescent="0.25">
      <c r="A1016" t="s">
        <v>1046</v>
      </c>
      <c r="B1016" s="1">
        <v>43289</v>
      </c>
      <c r="C1016" t="s">
        <v>15</v>
      </c>
      <c r="D1016" t="s">
        <v>27</v>
      </c>
      <c r="E1016">
        <v>9</v>
      </c>
      <c r="F1016">
        <v>40</v>
      </c>
      <c r="G1016">
        <v>360</v>
      </c>
      <c r="H1016">
        <v>0.06</v>
      </c>
      <c r="I1016">
        <v>21.599999999999998</v>
      </c>
      <c r="J1016" t="s">
        <v>28</v>
      </c>
    </row>
    <row r="1017" spans="1:10" x14ac:dyDescent="0.25">
      <c r="A1017" t="s">
        <v>1047</v>
      </c>
      <c r="B1017" s="1">
        <v>43289</v>
      </c>
      <c r="C1017" t="s">
        <v>15</v>
      </c>
      <c r="D1017" t="s">
        <v>12</v>
      </c>
      <c r="E1017">
        <v>18</v>
      </c>
      <c r="F1017">
        <v>40</v>
      </c>
      <c r="G1017">
        <v>720</v>
      </c>
      <c r="H1017">
        <v>0.11</v>
      </c>
      <c r="I1017">
        <v>79.2</v>
      </c>
      <c r="J1017" t="s">
        <v>17</v>
      </c>
    </row>
    <row r="1018" spans="1:10" x14ac:dyDescent="0.25">
      <c r="A1018" t="s">
        <v>1048</v>
      </c>
      <c r="B1018" s="1">
        <v>43289</v>
      </c>
      <c r="C1018" t="s">
        <v>19</v>
      </c>
      <c r="D1018" t="s">
        <v>12</v>
      </c>
      <c r="E1018">
        <v>20</v>
      </c>
      <c r="F1018">
        <v>230</v>
      </c>
      <c r="G1018">
        <v>4600</v>
      </c>
      <c r="H1018">
        <v>0.04</v>
      </c>
      <c r="I1018">
        <v>184</v>
      </c>
      <c r="J1018" t="s">
        <v>20</v>
      </c>
    </row>
    <row r="1019" spans="1:10" x14ac:dyDescent="0.25">
      <c r="A1019" t="s">
        <v>1049</v>
      </c>
      <c r="B1019" s="1">
        <v>43289</v>
      </c>
      <c r="C1019" t="s">
        <v>11</v>
      </c>
      <c r="D1019" t="s">
        <v>24</v>
      </c>
      <c r="E1019">
        <v>23</v>
      </c>
      <c r="F1019">
        <v>80</v>
      </c>
      <c r="G1019">
        <v>1840</v>
      </c>
      <c r="H1019">
        <v>0.05</v>
      </c>
      <c r="I1019">
        <v>92</v>
      </c>
      <c r="J1019" t="s">
        <v>22</v>
      </c>
    </row>
    <row r="1020" spans="1:10" x14ac:dyDescent="0.25">
      <c r="A1020" t="s">
        <v>1050</v>
      </c>
      <c r="B1020" s="1">
        <v>43289</v>
      </c>
      <c r="C1020" t="s">
        <v>34</v>
      </c>
      <c r="D1020" t="s">
        <v>31</v>
      </c>
      <c r="E1020">
        <v>11</v>
      </c>
      <c r="F1020">
        <v>150</v>
      </c>
      <c r="G1020">
        <v>1650</v>
      </c>
      <c r="H1020">
        <v>0.09</v>
      </c>
      <c r="I1020">
        <v>148.5</v>
      </c>
      <c r="J1020" t="s">
        <v>25</v>
      </c>
    </row>
    <row r="1021" spans="1:10" x14ac:dyDescent="0.25">
      <c r="A1021" t="s">
        <v>1051</v>
      </c>
      <c r="B1021" s="1">
        <v>43289</v>
      </c>
      <c r="C1021" t="s">
        <v>34</v>
      </c>
      <c r="D1021" t="s">
        <v>12</v>
      </c>
      <c r="E1021">
        <v>17</v>
      </c>
      <c r="F1021">
        <v>150</v>
      </c>
      <c r="G1021">
        <v>2550</v>
      </c>
      <c r="H1021">
        <v>0.12</v>
      </c>
      <c r="I1021">
        <v>306</v>
      </c>
      <c r="J1021" t="s">
        <v>28</v>
      </c>
    </row>
    <row r="1022" spans="1:10" x14ac:dyDescent="0.25">
      <c r="A1022" t="s">
        <v>1052</v>
      </c>
      <c r="B1022" s="1">
        <v>43289</v>
      </c>
      <c r="C1022" t="s">
        <v>19</v>
      </c>
      <c r="D1022" t="s">
        <v>31</v>
      </c>
      <c r="E1022">
        <v>2</v>
      </c>
      <c r="F1022">
        <v>230</v>
      </c>
      <c r="G1022">
        <v>460</v>
      </c>
      <c r="H1022">
        <v>0.08</v>
      </c>
      <c r="I1022">
        <v>36.800000000000004</v>
      </c>
      <c r="J1022" t="s">
        <v>32</v>
      </c>
    </row>
    <row r="1023" spans="1:10" x14ac:dyDescent="0.25">
      <c r="A1023" t="s">
        <v>1053</v>
      </c>
      <c r="B1023" s="1">
        <v>43289</v>
      </c>
      <c r="C1023" t="s">
        <v>11</v>
      </c>
      <c r="D1023" t="s">
        <v>24</v>
      </c>
      <c r="E1023">
        <v>10</v>
      </c>
      <c r="F1023">
        <v>80</v>
      </c>
      <c r="G1023">
        <v>800</v>
      </c>
      <c r="H1023">
        <v>0.11</v>
      </c>
      <c r="I1023">
        <v>88</v>
      </c>
      <c r="J1023" t="s">
        <v>35</v>
      </c>
    </row>
    <row r="1024" spans="1:10" x14ac:dyDescent="0.25">
      <c r="A1024" t="s">
        <v>1054</v>
      </c>
      <c r="B1024" s="1">
        <v>43290</v>
      </c>
      <c r="C1024" t="s">
        <v>30</v>
      </c>
      <c r="D1024" t="s">
        <v>27</v>
      </c>
      <c r="E1024">
        <v>22</v>
      </c>
      <c r="F1024">
        <v>16</v>
      </c>
      <c r="G1024">
        <v>352</v>
      </c>
      <c r="H1024">
        <v>0.03</v>
      </c>
      <c r="I1024">
        <v>10.559999999999999</v>
      </c>
      <c r="J1024" t="s">
        <v>37</v>
      </c>
    </row>
    <row r="1025" spans="1:10" x14ac:dyDescent="0.25">
      <c r="A1025" t="s">
        <v>1055</v>
      </c>
      <c r="B1025" s="1">
        <v>43290</v>
      </c>
      <c r="C1025" t="s">
        <v>30</v>
      </c>
      <c r="D1025" t="s">
        <v>24</v>
      </c>
      <c r="E1025">
        <v>9</v>
      </c>
      <c r="F1025">
        <v>16</v>
      </c>
      <c r="G1025">
        <v>144</v>
      </c>
      <c r="H1025">
        <v>0.05</v>
      </c>
      <c r="I1025">
        <v>7.2</v>
      </c>
      <c r="J1025" t="s">
        <v>39</v>
      </c>
    </row>
    <row r="1026" spans="1:10" x14ac:dyDescent="0.25">
      <c r="A1026" t="s">
        <v>1056</v>
      </c>
      <c r="B1026" s="1">
        <v>43290</v>
      </c>
      <c r="C1026" t="s">
        <v>15</v>
      </c>
      <c r="D1026" t="s">
        <v>24</v>
      </c>
      <c r="E1026">
        <v>4</v>
      </c>
      <c r="F1026">
        <v>40</v>
      </c>
      <c r="G1026">
        <v>160</v>
      </c>
      <c r="H1026">
        <v>0.1</v>
      </c>
      <c r="I1026">
        <v>16</v>
      </c>
      <c r="J1026" t="s">
        <v>41</v>
      </c>
    </row>
    <row r="1027" spans="1:10" x14ac:dyDescent="0.25">
      <c r="A1027" t="s">
        <v>1057</v>
      </c>
      <c r="B1027" s="1">
        <v>43290</v>
      </c>
      <c r="C1027" t="s">
        <v>11</v>
      </c>
      <c r="D1027" t="s">
        <v>31</v>
      </c>
      <c r="E1027">
        <v>9</v>
      </c>
      <c r="F1027">
        <v>80</v>
      </c>
      <c r="G1027">
        <v>720</v>
      </c>
      <c r="H1027">
        <v>0.02</v>
      </c>
      <c r="I1027">
        <v>14.4</v>
      </c>
      <c r="J1027" t="s">
        <v>43</v>
      </c>
    </row>
    <row r="1028" spans="1:10" x14ac:dyDescent="0.25">
      <c r="A1028" t="s">
        <v>1058</v>
      </c>
      <c r="B1028" s="1">
        <v>43290</v>
      </c>
      <c r="C1028" t="s">
        <v>19</v>
      </c>
      <c r="D1028" t="s">
        <v>24</v>
      </c>
      <c r="E1028">
        <v>6</v>
      </c>
      <c r="F1028">
        <v>230</v>
      </c>
      <c r="G1028">
        <v>1380</v>
      </c>
      <c r="H1028">
        <v>0.05</v>
      </c>
      <c r="I1028">
        <v>69</v>
      </c>
      <c r="J1028" t="s">
        <v>13</v>
      </c>
    </row>
    <row r="1029" spans="1:10" x14ac:dyDescent="0.25">
      <c r="A1029" t="s">
        <v>1059</v>
      </c>
      <c r="B1029" s="1">
        <v>43290</v>
      </c>
      <c r="C1029" t="s">
        <v>11</v>
      </c>
      <c r="D1029" t="s">
        <v>27</v>
      </c>
      <c r="E1029">
        <v>14</v>
      </c>
      <c r="F1029">
        <v>80</v>
      </c>
      <c r="G1029">
        <v>1120</v>
      </c>
      <c r="H1029">
        <v>0.05</v>
      </c>
      <c r="I1029">
        <v>56</v>
      </c>
      <c r="J1029" t="s">
        <v>17</v>
      </c>
    </row>
    <row r="1030" spans="1:10" x14ac:dyDescent="0.25">
      <c r="A1030" t="s">
        <v>1060</v>
      </c>
      <c r="B1030" s="1">
        <v>43290</v>
      </c>
      <c r="C1030" t="s">
        <v>30</v>
      </c>
      <c r="D1030" t="s">
        <v>31</v>
      </c>
      <c r="E1030">
        <v>17</v>
      </c>
      <c r="F1030">
        <v>16</v>
      </c>
      <c r="G1030">
        <v>272</v>
      </c>
      <c r="H1030">
        <v>0.08</v>
      </c>
      <c r="I1030">
        <v>21.76</v>
      </c>
      <c r="J1030" t="s">
        <v>20</v>
      </c>
    </row>
    <row r="1031" spans="1:10" x14ac:dyDescent="0.25">
      <c r="A1031" t="s">
        <v>1061</v>
      </c>
      <c r="B1031" s="1">
        <v>43290</v>
      </c>
      <c r="C1031" t="s">
        <v>34</v>
      </c>
      <c r="D1031" t="s">
        <v>16</v>
      </c>
      <c r="E1031">
        <v>22</v>
      </c>
      <c r="F1031">
        <v>150</v>
      </c>
      <c r="G1031">
        <v>3300</v>
      </c>
      <c r="H1031">
        <v>0.02</v>
      </c>
      <c r="I1031">
        <v>66</v>
      </c>
      <c r="J1031" t="s">
        <v>22</v>
      </c>
    </row>
    <row r="1032" spans="1:10" x14ac:dyDescent="0.25">
      <c r="A1032" t="s">
        <v>1062</v>
      </c>
      <c r="B1032" s="1">
        <v>43290</v>
      </c>
      <c r="C1032" t="s">
        <v>15</v>
      </c>
      <c r="D1032" t="s">
        <v>31</v>
      </c>
      <c r="E1032">
        <v>17</v>
      </c>
      <c r="F1032">
        <v>40</v>
      </c>
      <c r="G1032">
        <v>680</v>
      </c>
      <c r="H1032">
        <v>0.02</v>
      </c>
      <c r="I1032">
        <v>13.6</v>
      </c>
      <c r="J1032" t="s">
        <v>25</v>
      </c>
    </row>
    <row r="1033" spans="1:10" x14ac:dyDescent="0.25">
      <c r="A1033" t="s">
        <v>1063</v>
      </c>
      <c r="B1033" s="1">
        <v>43290</v>
      </c>
      <c r="C1033" t="s">
        <v>11</v>
      </c>
      <c r="D1033" t="s">
        <v>31</v>
      </c>
      <c r="E1033">
        <v>17</v>
      </c>
      <c r="F1033">
        <v>80</v>
      </c>
      <c r="G1033">
        <v>1360</v>
      </c>
      <c r="H1033">
        <v>7.0000000000000007E-2</v>
      </c>
      <c r="I1033">
        <v>95.2</v>
      </c>
      <c r="J1033" t="s">
        <v>28</v>
      </c>
    </row>
    <row r="1034" spans="1:10" x14ac:dyDescent="0.25">
      <c r="A1034" t="s">
        <v>1064</v>
      </c>
      <c r="B1034" s="1">
        <v>43290</v>
      </c>
      <c r="C1034" t="s">
        <v>34</v>
      </c>
      <c r="D1034" t="s">
        <v>27</v>
      </c>
      <c r="E1034">
        <v>4</v>
      </c>
      <c r="F1034">
        <v>150</v>
      </c>
      <c r="G1034">
        <v>600</v>
      </c>
      <c r="H1034">
        <v>0.12</v>
      </c>
      <c r="I1034">
        <v>72</v>
      </c>
      <c r="J1034" t="s">
        <v>17</v>
      </c>
    </row>
    <row r="1035" spans="1:10" x14ac:dyDescent="0.25">
      <c r="A1035" t="s">
        <v>1065</v>
      </c>
      <c r="B1035" s="1">
        <v>43290</v>
      </c>
      <c r="C1035" t="s">
        <v>30</v>
      </c>
      <c r="D1035" t="s">
        <v>27</v>
      </c>
      <c r="E1035">
        <v>14</v>
      </c>
      <c r="F1035">
        <v>16</v>
      </c>
      <c r="G1035">
        <v>224</v>
      </c>
      <c r="H1035">
        <v>0.12</v>
      </c>
      <c r="I1035">
        <v>26.88</v>
      </c>
      <c r="J1035" t="s">
        <v>20</v>
      </c>
    </row>
    <row r="1036" spans="1:10" x14ac:dyDescent="0.25">
      <c r="A1036" t="s">
        <v>1066</v>
      </c>
      <c r="B1036" s="1">
        <v>43290</v>
      </c>
      <c r="C1036" t="s">
        <v>30</v>
      </c>
      <c r="D1036" t="s">
        <v>12</v>
      </c>
      <c r="E1036">
        <v>18</v>
      </c>
      <c r="F1036">
        <v>16</v>
      </c>
      <c r="G1036">
        <v>288</v>
      </c>
      <c r="H1036">
        <v>0.11</v>
      </c>
      <c r="I1036">
        <v>31.68</v>
      </c>
      <c r="J1036" t="s">
        <v>22</v>
      </c>
    </row>
    <row r="1037" spans="1:10" x14ac:dyDescent="0.25">
      <c r="A1037" t="s">
        <v>1067</v>
      </c>
      <c r="B1037" s="1">
        <v>43290</v>
      </c>
      <c r="C1037" t="s">
        <v>11</v>
      </c>
      <c r="D1037" t="s">
        <v>31</v>
      </c>
      <c r="E1037">
        <v>22</v>
      </c>
      <c r="F1037">
        <v>80</v>
      </c>
      <c r="G1037">
        <v>1760</v>
      </c>
      <c r="H1037">
        <v>0.09</v>
      </c>
      <c r="I1037">
        <v>158.4</v>
      </c>
      <c r="J1037" t="s">
        <v>25</v>
      </c>
    </row>
    <row r="1038" spans="1:10" x14ac:dyDescent="0.25">
      <c r="A1038" t="s">
        <v>1068</v>
      </c>
      <c r="B1038" s="1">
        <v>43290</v>
      </c>
      <c r="C1038" t="s">
        <v>19</v>
      </c>
      <c r="D1038" t="s">
        <v>16</v>
      </c>
      <c r="E1038">
        <v>12</v>
      </c>
      <c r="F1038">
        <v>230</v>
      </c>
      <c r="G1038">
        <v>2760</v>
      </c>
      <c r="H1038">
        <v>0.03</v>
      </c>
      <c r="I1038">
        <v>82.8</v>
      </c>
      <c r="J1038" t="s">
        <v>28</v>
      </c>
    </row>
    <row r="1039" spans="1:10" x14ac:dyDescent="0.25">
      <c r="A1039" t="s">
        <v>1069</v>
      </c>
      <c r="B1039" s="1">
        <v>43290</v>
      </c>
      <c r="C1039" t="s">
        <v>15</v>
      </c>
      <c r="D1039" t="s">
        <v>16</v>
      </c>
      <c r="E1039">
        <v>12</v>
      </c>
      <c r="F1039">
        <v>40</v>
      </c>
      <c r="G1039">
        <v>480</v>
      </c>
      <c r="H1039">
        <v>0.1</v>
      </c>
      <c r="I1039">
        <v>48</v>
      </c>
      <c r="J1039" t="s">
        <v>32</v>
      </c>
    </row>
    <row r="1040" spans="1:10" x14ac:dyDescent="0.25">
      <c r="A1040" t="s">
        <v>1070</v>
      </c>
      <c r="B1040" s="1">
        <v>43291</v>
      </c>
      <c r="C1040" t="s">
        <v>15</v>
      </c>
      <c r="D1040" t="s">
        <v>31</v>
      </c>
      <c r="E1040">
        <v>7</v>
      </c>
      <c r="F1040">
        <v>40</v>
      </c>
      <c r="G1040">
        <v>280</v>
      </c>
      <c r="H1040">
        <v>0.12</v>
      </c>
      <c r="I1040">
        <v>33.6</v>
      </c>
      <c r="J1040" t="s">
        <v>35</v>
      </c>
    </row>
    <row r="1041" spans="1:10" x14ac:dyDescent="0.25">
      <c r="A1041" t="s">
        <v>1071</v>
      </c>
      <c r="B1041" s="1">
        <v>43291</v>
      </c>
      <c r="C1041" t="s">
        <v>11</v>
      </c>
      <c r="D1041" t="s">
        <v>12</v>
      </c>
      <c r="E1041">
        <v>12</v>
      </c>
      <c r="F1041">
        <v>80</v>
      </c>
      <c r="G1041">
        <v>960</v>
      </c>
      <c r="H1041">
        <v>0.04</v>
      </c>
      <c r="I1041">
        <v>38.4</v>
      </c>
      <c r="J1041" t="s">
        <v>37</v>
      </c>
    </row>
    <row r="1042" spans="1:10" x14ac:dyDescent="0.25">
      <c r="A1042" t="s">
        <v>1072</v>
      </c>
      <c r="B1042" s="1">
        <v>43291</v>
      </c>
      <c r="C1042" t="s">
        <v>30</v>
      </c>
      <c r="D1042" t="s">
        <v>31</v>
      </c>
      <c r="E1042">
        <v>17</v>
      </c>
      <c r="F1042">
        <v>16</v>
      </c>
      <c r="G1042">
        <v>272</v>
      </c>
      <c r="H1042">
        <v>0.1</v>
      </c>
      <c r="I1042">
        <v>27.200000000000003</v>
      </c>
      <c r="J1042" t="s">
        <v>39</v>
      </c>
    </row>
    <row r="1043" spans="1:10" x14ac:dyDescent="0.25">
      <c r="A1043" t="s">
        <v>1073</v>
      </c>
      <c r="B1043" s="1">
        <v>43291</v>
      </c>
      <c r="C1043" t="s">
        <v>19</v>
      </c>
      <c r="D1043" t="s">
        <v>16</v>
      </c>
      <c r="E1043">
        <v>6</v>
      </c>
      <c r="F1043">
        <v>230</v>
      </c>
      <c r="G1043">
        <v>1380</v>
      </c>
      <c r="H1043">
        <v>0.1</v>
      </c>
      <c r="I1043">
        <v>138</v>
      </c>
      <c r="J1043" t="s">
        <v>41</v>
      </c>
    </row>
    <row r="1044" spans="1:10" x14ac:dyDescent="0.25">
      <c r="A1044" t="s">
        <v>1074</v>
      </c>
      <c r="B1044" s="1">
        <v>43291</v>
      </c>
      <c r="C1044" t="s">
        <v>15</v>
      </c>
      <c r="D1044" t="s">
        <v>12</v>
      </c>
      <c r="E1044">
        <v>11</v>
      </c>
      <c r="F1044">
        <v>40</v>
      </c>
      <c r="G1044">
        <v>440</v>
      </c>
      <c r="H1044">
        <v>0.04</v>
      </c>
      <c r="I1044">
        <v>17.600000000000001</v>
      </c>
      <c r="J1044" t="s">
        <v>43</v>
      </c>
    </row>
    <row r="1045" spans="1:10" x14ac:dyDescent="0.25">
      <c r="A1045" t="s">
        <v>1075</v>
      </c>
      <c r="B1045" s="1">
        <v>43291</v>
      </c>
      <c r="C1045" t="s">
        <v>30</v>
      </c>
      <c r="D1045" t="s">
        <v>27</v>
      </c>
      <c r="E1045">
        <v>10</v>
      </c>
      <c r="F1045">
        <v>16</v>
      </c>
      <c r="G1045">
        <v>160</v>
      </c>
      <c r="H1045">
        <v>0.04</v>
      </c>
      <c r="I1045">
        <v>6.4</v>
      </c>
      <c r="J1045" t="s">
        <v>13</v>
      </c>
    </row>
    <row r="1046" spans="1:10" x14ac:dyDescent="0.25">
      <c r="A1046" t="s">
        <v>1076</v>
      </c>
      <c r="B1046" s="1">
        <v>43291</v>
      </c>
      <c r="C1046" t="s">
        <v>11</v>
      </c>
      <c r="D1046" t="s">
        <v>12</v>
      </c>
      <c r="E1046">
        <v>6</v>
      </c>
      <c r="F1046">
        <v>80</v>
      </c>
      <c r="G1046">
        <v>480</v>
      </c>
      <c r="H1046">
        <v>7.0000000000000007E-2</v>
      </c>
      <c r="I1046">
        <v>33.6</v>
      </c>
      <c r="J1046" t="s">
        <v>17</v>
      </c>
    </row>
    <row r="1047" spans="1:10" x14ac:dyDescent="0.25">
      <c r="A1047" t="s">
        <v>1077</v>
      </c>
      <c r="B1047" s="1">
        <v>43291</v>
      </c>
      <c r="C1047" t="s">
        <v>15</v>
      </c>
      <c r="D1047" t="s">
        <v>27</v>
      </c>
      <c r="E1047">
        <v>11</v>
      </c>
      <c r="F1047">
        <v>40</v>
      </c>
      <c r="G1047">
        <v>440</v>
      </c>
      <c r="H1047">
        <v>0.09</v>
      </c>
      <c r="I1047">
        <v>39.6</v>
      </c>
      <c r="J1047" t="s">
        <v>20</v>
      </c>
    </row>
    <row r="1048" spans="1:10" x14ac:dyDescent="0.25">
      <c r="A1048" t="s">
        <v>1078</v>
      </c>
      <c r="B1048" s="1">
        <v>43291</v>
      </c>
      <c r="C1048" t="s">
        <v>11</v>
      </c>
      <c r="D1048" t="s">
        <v>31</v>
      </c>
      <c r="E1048">
        <v>16</v>
      </c>
      <c r="F1048">
        <v>80</v>
      </c>
      <c r="G1048">
        <v>1280</v>
      </c>
      <c r="H1048">
        <v>0.09</v>
      </c>
      <c r="I1048">
        <v>115.19999999999999</v>
      </c>
      <c r="J1048" t="s">
        <v>22</v>
      </c>
    </row>
    <row r="1049" spans="1:10" x14ac:dyDescent="0.25">
      <c r="A1049" t="s">
        <v>1079</v>
      </c>
      <c r="B1049" s="1">
        <v>43291</v>
      </c>
      <c r="C1049" t="s">
        <v>15</v>
      </c>
      <c r="D1049" t="s">
        <v>27</v>
      </c>
      <c r="E1049">
        <v>13</v>
      </c>
      <c r="F1049">
        <v>40</v>
      </c>
      <c r="G1049">
        <v>520</v>
      </c>
      <c r="H1049">
        <v>0.09</v>
      </c>
      <c r="I1049">
        <v>46.8</v>
      </c>
      <c r="J1049" t="s">
        <v>25</v>
      </c>
    </row>
    <row r="1050" spans="1:10" x14ac:dyDescent="0.25">
      <c r="A1050" t="s">
        <v>1080</v>
      </c>
      <c r="B1050" s="1">
        <v>43291</v>
      </c>
      <c r="C1050" t="s">
        <v>19</v>
      </c>
      <c r="D1050" t="s">
        <v>12</v>
      </c>
      <c r="E1050">
        <v>5</v>
      </c>
      <c r="F1050">
        <v>230</v>
      </c>
      <c r="G1050">
        <v>1150</v>
      </c>
      <c r="H1050">
        <v>0.1</v>
      </c>
      <c r="I1050">
        <v>115</v>
      </c>
      <c r="J1050" t="s">
        <v>28</v>
      </c>
    </row>
    <row r="1051" spans="1:10" x14ac:dyDescent="0.25">
      <c r="A1051" t="s">
        <v>1081</v>
      </c>
      <c r="B1051" s="1">
        <v>43292</v>
      </c>
      <c r="C1051" t="s">
        <v>15</v>
      </c>
      <c r="D1051" t="s">
        <v>31</v>
      </c>
      <c r="E1051">
        <v>7</v>
      </c>
      <c r="F1051">
        <v>40</v>
      </c>
      <c r="G1051">
        <v>280</v>
      </c>
      <c r="H1051">
        <v>0.05</v>
      </c>
      <c r="I1051">
        <v>14</v>
      </c>
      <c r="J1051" t="s">
        <v>17</v>
      </c>
    </row>
    <row r="1052" spans="1:10" x14ac:dyDescent="0.25">
      <c r="A1052" t="s">
        <v>1082</v>
      </c>
      <c r="B1052" s="1">
        <v>43292</v>
      </c>
      <c r="C1052" t="s">
        <v>11</v>
      </c>
      <c r="D1052" t="s">
        <v>24</v>
      </c>
      <c r="E1052">
        <v>14</v>
      </c>
      <c r="F1052">
        <v>80</v>
      </c>
      <c r="G1052">
        <v>1120</v>
      </c>
      <c r="H1052">
        <v>0.1</v>
      </c>
      <c r="I1052">
        <v>112</v>
      </c>
      <c r="J1052" t="s">
        <v>20</v>
      </c>
    </row>
    <row r="1053" spans="1:10" x14ac:dyDescent="0.25">
      <c r="A1053" t="s">
        <v>1083</v>
      </c>
      <c r="B1053" s="1">
        <v>43292</v>
      </c>
      <c r="C1053" t="s">
        <v>30</v>
      </c>
      <c r="D1053" t="s">
        <v>31</v>
      </c>
      <c r="E1053">
        <v>12</v>
      </c>
      <c r="F1053">
        <v>16</v>
      </c>
      <c r="G1053">
        <v>192</v>
      </c>
      <c r="H1053">
        <v>0.04</v>
      </c>
      <c r="I1053">
        <v>7.68</v>
      </c>
      <c r="J1053" t="s">
        <v>22</v>
      </c>
    </row>
    <row r="1054" spans="1:10" x14ac:dyDescent="0.25">
      <c r="A1054" t="s">
        <v>1084</v>
      </c>
      <c r="B1054" s="1">
        <v>43292</v>
      </c>
      <c r="C1054" t="s">
        <v>19</v>
      </c>
      <c r="D1054" t="s">
        <v>24</v>
      </c>
      <c r="E1054">
        <v>14</v>
      </c>
      <c r="F1054">
        <v>230</v>
      </c>
      <c r="G1054">
        <v>3220</v>
      </c>
      <c r="H1054">
        <v>0.03</v>
      </c>
      <c r="I1054">
        <v>96.6</v>
      </c>
      <c r="J1054" t="s">
        <v>25</v>
      </c>
    </row>
    <row r="1055" spans="1:10" x14ac:dyDescent="0.25">
      <c r="A1055" t="s">
        <v>1085</v>
      </c>
      <c r="B1055" s="1">
        <v>43292</v>
      </c>
      <c r="C1055" t="s">
        <v>11</v>
      </c>
      <c r="D1055" t="s">
        <v>31</v>
      </c>
      <c r="E1055">
        <v>21</v>
      </c>
      <c r="F1055">
        <v>80</v>
      </c>
      <c r="G1055">
        <v>1680</v>
      </c>
      <c r="H1055">
        <v>0.09</v>
      </c>
      <c r="I1055">
        <v>151.19999999999999</v>
      </c>
      <c r="J1055" t="s">
        <v>28</v>
      </c>
    </row>
    <row r="1056" spans="1:10" x14ac:dyDescent="0.25">
      <c r="A1056" t="s">
        <v>1086</v>
      </c>
      <c r="B1056" s="1">
        <v>43292</v>
      </c>
      <c r="C1056" t="s">
        <v>19</v>
      </c>
      <c r="D1056" t="s">
        <v>24</v>
      </c>
      <c r="E1056">
        <v>5</v>
      </c>
      <c r="F1056">
        <v>230</v>
      </c>
      <c r="G1056">
        <v>1150</v>
      </c>
      <c r="H1056">
        <v>0.1</v>
      </c>
      <c r="I1056">
        <v>115</v>
      </c>
      <c r="J1056" t="s">
        <v>32</v>
      </c>
    </row>
    <row r="1057" spans="1:10" x14ac:dyDescent="0.25">
      <c r="A1057" t="s">
        <v>1087</v>
      </c>
      <c r="B1057" s="1">
        <v>43292</v>
      </c>
      <c r="C1057" t="s">
        <v>15</v>
      </c>
      <c r="D1057" t="s">
        <v>31</v>
      </c>
      <c r="E1057">
        <v>16</v>
      </c>
      <c r="F1057">
        <v>40</v>
      </c>
      <c r="G1057">
        <v>640</v>
      </c>
      <c r="H1057">
        <v>0.09</v>
      </c>
      <c r="I1057">
        <v>57.599999999999994</v>
      </c>
      <c r="J1057" t="s">
        <v>35</v>
      </c>
    </row>
    <row r="1058" spans="1:10" x14ac:dyDescent="0.25">
      <c r="A1058" t="s">
        <v>1088</v>
      </c>
      <c r="B1058" s="1">
        <v>43292</v>
      </c>
      <c r="C1058" t="s">
        <v>34</v>
      </c>
      <c r="D1058" t="s">
        <v>16</v>
      </c>
      <c r="E1058">
        <v>15</v>
      </c>
      <c r="F1058">
        <v>150</v>
      </c>
      <c r="G1058">
        <v>2250</v>
      </c>
      <c r="H1058">
        <v>0.12</v>
      </c>
      <c r="I1058">
        <v>270</v>
      </c>
      <c r="J1058" t="s">
        <v>37</v>
      </c>
    </row>
    <row r="1059" spans="1:10" x14ac:dyDescent="0.25">
      <c r="A1059" t="s">
        <v>1089</v>
      </c>
      <c r="B1059" s="1">
        <v>43292</v>
      </c>
      <c r="C1059" t="s">
        <v>30</v>
      </c>
      <c r="D1059" t="s">
        <v>31</v>
      </c>
      <c r="E1059">
        <v>23</v>
      </c>
      <c r="F1059">
        <v>16</v>
      </c>
      <c r="G1059">
        <v>368</v>
      </c>
      <c r="H1059">
        <v>0.01</v>
      </c>
      <c r="I1059">
        <v>3.68</v>
      </c>
      <c r="J1059" t="s">
        <v>39</v>
      </c>
    </row>
    <row r="1060" spans="1:10" x14ac:dyDescent="0.25">
      <c r="A1060" t="s">
        <v>1090</v>
      </c>
      <c r="B1060" s="1">
        <v>43292</v>
      </c>
      <c r="C1060" t="s">
        <v>30</v>
      </c>
      <c r="D1060" t="s">
        <v>16</v>
      </c>
      <c r="E1060">
        <v>22</v>
      </c>
      <c r="F1060">
        <v>16</v>
      </c>
      <c r="G1060">
        <v>352</v>
      </c>
      <c r="H1060">
        <v>0.04</v>
      </c>
      <c r="I1060">
        <v>14.08</v>
      </c>
      <c r="J1060" t="s">
        <v>41</v>
      </c>
    </row>
    <row r="1061" spans="1:10" x14ac:dyDescent="0.25">
      <c r="A1061" t="s">
        <v>1091</v>
      </c>
      <c r="B1061" s="1">
        <v>43292</v>
      </c>
      <c r="C1061" t="s">
        <v>11</v>
      </c>
      <c r="D1061" t="s">
        <v>12</v>
      </c>
      <c r="E1061">
        <v>20</v>
      </c>
      <c r="F1061">
        <v>80</v>
      </c>
      <c r="G1061">
        <v>1600</v>
      </c>
      <c r="H1061">
        <v>0.01</v>
      </c>
      <c r="I1061">
        <v>16</v>
      </c>
      <c r="J1061" t="s">
        <v>43</v>
      </c>
    </row>
    <row r="1062" spans="1:10" x14ac:dyDescent="0.25">
      <c r="A1062" t="s">
        <v>1092</v>
      </c>
      <c r="B1062" s="1">
        <v>43292</v>
      </c>
      <c r="C1062" t="s">
        <v>15</v>
      </c>
      <c r="D1062" t="s">
        <v>27</v>
      </c>
      <c r="E1062">
        <v>6</v>
      </c>
      <c r="F1062">
        <v>40</v>
      </c>
      <c r="G1062">
        <v>240</v>
      </c>
      <c r="H1062">
        <v>7.0000000000000007E-2</v>
      </c>
      <c r="I1062">
        <v>16.8</v>
      </c>
      <c r="J1062" t="s">
        <v>13</v>
      </c>
    </row>
    <row r="1063" spans="1:10" x14ac:dyDescent="0.25">
      <c r="A1063" t="s">
        <v>1093</v>
      </c>
      <c r="B1063" s="1">
        <v>43293</v>
      </c>
      <c r="C1063" t="s">
        <v>34</v>
      </c>
      <c r="D1063" t="s">
        <v>16</v>
      </c>
      <c r="E1063">
        <v>10</v>
      </c>
      <c r="F1063">
        <v>150</v>
      </c>
      <c r="G1063">
        <v>1500</v>
      </c>
      <c r="H1063">
        <v>0.01</v>
      </c>
      <c r="I1063">
        <v>15</v>
      </c>
      <c r="J1063" t="s">
        <v>17</v>
      </c>
    </row>
    <row r="1064" spans="1:10" x14ac:dyDescent="0.25">
      <c r="A1064" t="s">
        <v>1094</v>
      </c>
      <c r="B1064" s="1">
        <v>43293</v>
      </c>
      <c r="C1064" t="s">
        <v>11</v>
      </c>
      <c r="D1064" t="s">
        <v>27</v>
      </c>
      <c r="E1064">
        <v>17</v>
      </c>
      <c r="F1064">
        <v>80</v>
      </c>
      <c r="G1064">
        <v>1360</v>
      </c>
      <c r="H1064">
        <v>0.05</v>
      </c>
      <c r="I1064">
        <v>68</v>
      </c>
      <c r="J1064" t="s">
        <v>20</v>
      </c>
    </row>
    <row r="1065" spans="1:10" x14ac:dyDescent="0.25">
      <c r="A1065" t="s">
        <v>1095</v>
      </c>
      <c r="B1065" s="1">
        <v>43293</v>
      </c>
      <c r="C1065" t="s">
        <v>34</v>
      </c>
      <c r="D1065" t="s">
        <v>12</v>
      </c>
      <c r="E1065">
        <v>13</v>
      </c>
      <c r="F1065">
        <v>150</v>
      </c>
      <c r="G1065">
        <v>1950</v>
      </c>
      <c r="H1065">
        <v>0.05</v>
      </c>
      <c r="I1065">
        <v>97.5</v>
      </c>
      <c r="J1065" t="s">
        <v>22</v>
      </c>
    </row>
    <row r="1066" spans="1:10" x14ac:dyDescent="0.25">
      <c r="A1066" t="s">
        <v>1096</v>
      </c>
      <c r="B1066" s="1">
        <v>43293</v>
      </c>
      <c r="C1066" t="s">
        <v>19</v>
      </c>
      <c r="D1066" t="s">
        <v>27</v>
      </c>
      <c r="E1066">
        <v>8</v>
      </c>
      <c r="F1066">
        <v>230</v>
      </c>
      <c r="G1066">
        <v>1840</v>
      </c>
      <c r="H1066">
        <v>0.05</v>
      </c>
      <c r="I1066">
        <v>92</v>
      </c>
      <c r="J1066" t="s">
        <v>25</v>
      </c>
    </row>
    <row r="1067" spans="1:10" x14ac:dyDescent="0.25">
      <c r="A1067" t="s">
        <v>1097</v>
      </c>
      <c r="B1067" s="1">
        <v>43293</v>
      </c>
      <c r="C1067" t="s">
        <v>30</v>
      </c>
      <c r="D1067" t="s">
        <v>12</v>
      </c>
      <c r="E1067">
        <v>10</v>
      </c>
      <c r="F1067">
        <v>16</v>
      </c>
      <c r="G1067">
        <v>160</v>
      </c>
      <c r="H1067">
        <v>0.08</v>
      </c>
      <c r="I1067">
        <v>12.8</v>
      </c>
      <c r="J1067" t="s">
        <v>28</v>
      </c>
    </row>
    <row r="1068" spans="1:10" x14ac:dyDescent="0.25">
      <c r="A1068" t="s">
        <v>1098</v>
      </c>
      <c r="B1068" s="1">
        <v>43293</v>
      </c>
      <c r="C1068" t="s">
        <v>15</v>
      </c>
      <c r="D1068" t="s">
        <v>16</v>
      </c>
      <c r="E1068">
        <v>4</v>
      </c>
      <c r="F1068">
        <v>40</v>
      </c>
      <c r="G1068">
        <v>160</v>
      </c>
      <c r="H1068">
        <v>0.06</v>
      </c>
      <c r="I1068">
        <v>9.6</v>
      </c>
      <c r="J1068" t="s">
        <v>17</v>
      </c>
    </row>
    <row r="1069" spans="1:10" x14ac:dyDescent="0.25">
      <c r="A1069" t="s">
        <v>1099</v>
      </c>
      <c r="B1069" s="1">
        <v>43293</v>
      </c>
      <c r="C1069" t="s">
        <v>15</v>
      </c>
      <c r="D1069" t="s">
        <v>31</v>
      </c>
      <c r="E1069">
        <v>18</v>
      </c>
      <c r="F1069">
        <v>40</v>
      </c>
      <c r="G1069">
        <v>720</v>
      </c>
      <c r="H1069">
        <v>0.06</v>
      </c>
      <c r="I1069">
        <v>43.199999999999996</v>
      </c>
      <c r="J1069" t="s">
        <v>20</v>
      </c>
    </row>
    <row r="1070" spans="1:10" x14ac:dyDescent="0.25">
      <c r="A1070" t="s">
        <v>1100</v>
      </c>
      <c r="B1070" s="1">
        <v>43293</v>
      </c>
      <c r="C1070" t="s">
        <v>34</v>
      </c>
      <c r="D1070" t="s">
        <v>27</v>
      </c>
      <c r="E1070">
        <v>15</v>
      </c>
      <c r="F1070">
        <v>150</v>
      </c>
      <c r="G1070">
        <v>2250</v>
      </c>
      <c r="H1070">
        <v>0.05</v>
      </c>
      <c r="I1070">
        <v>112.5</v>
      </c>
      <c r="J1070" t="s">
        <v>22</v>
      </c>
    </row>
    <row r="1071" spans="1:10" x14ac:dyDescent="0.25">
      <c r="A1071" t="s">
        <v>1101</v>
      </c>
      <c r="B1071" s="1">
        <v>43293</v>
      </c>
      <c r="C1071" t="s">
        <v>34</v>
      </c>
      <c r="D1071" t="s">
        <v>27</v>
      </c>
      <c r="E1071">
        <v>3</v>
      </c>
      <c r="F1071">
        <v>150</v>
      </c>
      <c r="G1071">
        <v>450</v>
      </c>
      <c r="H1071">
        <v>0.01</v>
      </c>
      <c r="I1071">
        <v>4.5</v>
      </c>
      <c r="J1071" t="s">
        <v>25</v>
      </c>
    </row>
    <row r="1072" spans="1:10" x14ac:dyDescent="0.25">
      <c r="A1072" t="s">
        <v>1102</v>
      </c>
      <c r="B1072" s="1">
        <v>43293</v>
      </c>
      <c r="C1072" t="s">
        <v>30</v>
      </c>
      <c r="D1072" t="s">
        <v>12</v>
      </c>
      <c r="E1072">
        <v>12</v>
      </c>
      <c r="F1072">
        <v>16</v>
      </c>
      <c r="G1072">
        <v>192</v>
      </c>
      <c r="H1072">
        <v>0.11</v>
      </c>
      <c r="I1072">
        <v>21.12</v>
      </c>
      <c r="J1072" t="s">
        <v>28</v>
      </c>
    </row>
    <row r="1073" spans="1:10" x14ac:dyDescent="0.25">
      <c r="A1073" t="s">
        <v>1103</v>
      </c>
      <c r="B1073" s="1">
        <v>43294</v>
      </c>
      <c r="C1073" t="s">
        <v>11</v>
      </c>
      <c r="D1073" t="s">
        <v>31</v>
      </c>
      <c r="E1073">
        <v>17</v>
      </c>
      <c r="F1073">
        <v>80</v>
      </c>
      <c r="G1073">
        <v>1360</v>
      </c>
      <c r="H1073">
        <v>7.0000000000000007E-2</v>
      </c>
      <c r="I1073">
        <v>95.2</v>
      </c>
      <c r="J1073" t="s">
        <v>32</v>
      </c>
    </row>
    <row r="1074" spans="1:10" x14ac:dyDescent="0.25">
      <c r="A1074" t="s">
        <v>1104</v>
      </c>
      <c r="B1074" s="1">
        <v>43294</v>
      </c>
      <c r="C1074" t="s">
        <v>19</v>
      </c>
      <c r="D1074" t="s">
        <v>12</v>
      </c>
      <c r="E1074">
        <v>3</v>
      </c>
      <c r="F1074">
        <v>230</v>
      </c>
      <c r="G1074">
        <v>690</v>
      </c>
      <c r="H1074">
        <v>0.06</v>
      </c>
      <c r="I1074">
        <v>41.4</v>
      </c>
      <c r="J1074" t="s">
        <v>35</v>
      </c>
    </row>
    <row r="1075" spans="1:10" x14ac:dyDescent="0.25">
      <c r="A1075" t="s">
        <v>1105</v>
      </c>
      <c r="B1075" s="1">
        <v>43294</v>
      </c>
      <c r="C1075" t="s">
        <v>11</v>
      </c>
      <c r="D1075" t="s">
        <v>24</v>
      </c>
      <c r="E1075">
        <v>20</v>
      </c>
      <c r="F1075">
        <v>80</v>
      </c>
      <c r="G1075">
        <v>1600</v>
      </c>
      <c r="H1075">
        <v>7.0000000000000007E-2</v>
      </c>
      <c r="I1075">
        <v>112.00000000000001</v>
      </c>
      <c r="J1075" t="s">
        <v>37</v>
      </c>
    </row>
    <row r="1076" spans="1:10" x14ac:dyDescent="0.25">
      <c r="A1076" t="s">
        <v>1106</v>
      </c>
      <c r="B1076" s="1">
        <v>43294</v>
      </c>
      <c r="C1076" t="s">
        <v>19</v>
      </c>
      <c r="D1076" t="s">
        <v>16</v>
      </c>
      <c r="E1076">
        <v>14</v>
      </c>
      <c r="F1076">
        <v>230</v>
      </c>
      <c r="G1076">
        <v>3220</v>
      </c>
      <c r="H1076">
        <v>0.05</v>
      </c>
      <c r="I1076">
        <v>161</v>
      </c>
      <c r="J1076" t="s">
        <v>39</v>
      </c>
    </row>
    <row r="1077" spans="1:10" x14ac:dyDescent="0.25">
      <c r="A1077" t="s">
        <v>1107</v>
      </c>
      <c r="B1077" s="1">
        <v>43294</v>
      </c>
      <c r="C1077" t="s">
        <v>15</v>
      </c>
      <c r="D1077" t="s">
        <v>31</v>
      </c>
      <c r="E1077">
        <v>16</v>
      </c>
      <c r="F1077">
        <v>40</v>
      </c>
      <c r="G1077">
        <v>640</v>
      </c>
      <c r="H1077">
        <v>0.09</v>
      </c>
      <c r="I1077">
        <v>57.599999999999994</v>
      </c>
      <c r="J1077" t="s">
        <v>41</v>
      </c>
    </row>
    <row r="1078" spans="1:10" x14ac:dyDescent="0.25">
      <c r="A1078" t="s">
        <v>1108</v>
      </c>
      <c r="B1078" s="1">
        <v>43294</v>
      </c>
      <c r="C1078" t="s">
        <v>30</v>
      </c>
      <c r="D1078" t="s">
        <v>16</v>
      </c>
      <c r="E1078">
        <v>7</v>
      </c>
      <c r="F1078">
        <v>16</v>
      </c>
      <c r="G1078">
        <v>112</v>
      </c>
      <c r="H1078">
        <v>0.08</v>
      </c>
      <c r="I1078">
        <v>8.9600000000000009</v>
      </c>
      <c r="J1078" t="s">
        <v>43</v>
      </c>
    </row>
    <row r="1079" spans="1:10" x14ac:dyDescent="0.25">
      <c r="A1079" t="s">
        <v>1109</v>
      </c>
      <c r="B1079" s="1">
        <v>43294</v>
      </c>
      <c r="C1079" t="s">
        <v>15</v>
      </c>
      <c r="D1079" t="s">
        <v>16</v>
      </c>
      <c r="E1079">
        <v>19</v>
      </c>
      <c r="F1079">
        <v>40</v>
      </c>
      <c r="G1079">
        <v>760</v>
      </c>
      <c r="H1079">
        <v>0.1</v>
      </c>
      <c r="I1079">
        <v>76</v>
      </c>
      <c r="J1079" t="s">
        <v>13</v>
      </c>
    </row>
    <row r="1080" spans="1:10" x14ac:dyDescent="0.25">
      <c r="A1080" t="s">
        <v>1110</v>
      </c>
      <c r="B1080" s="1">
        <v>43294</v>
      </c>
      <c r="C1080" t="s">
        <v>19</v>
      </c>
      <c r="D1080" t="s">
        <v>27</v>
      </c>
      <c r="E1080">
        <v>7</v>
      </c>
      <c r="F1080">
        <v>230</v>
      </c>
      <c r="G1080">
        <v>1610</v>
      </c>
      <c r="H1080">
        <v>0.06</v>
      </c>
      <c r="I1080">
        <v>96.6</v>
      </c>
      <c r="J1080" t="s">
        <v>17</v>
      </c>
    </row>
    <row r="1081" spans="1:10" x14ac:dyDescent="0.25">
      <c r="A1081" t="s">
        <v>1111</v>
      </c>
      <c r="B1081" s="1">
        <v>43294</v>
      </c>
      <c r="C1081" t="s">
        <v>15</v>
      </c>
      <c r="D1081" t="s">
        <v>31</v>
      </c>
      <c r="E1081">
        <v>20</v>
      </c>
      <c r="F1081">
        <v>40</v>
      </c>
      <c r="G1081">
        <v>800</v>
      </c>
      <c r="H1081">
        <v>0.03</v>
      </c>
      <c r="I1081">
        <v>24</v>
      </c>
      <c r="J1081" t="s">
        <v>20</v>
      </c>
    </row>
    <row r="1082" spans="1:10" x14ac:dyDescent="0.25">
      <c r="A1082" t="s">
        <v>1112</v>
      </c>
      <c r="B1082" s="1">
        <v>43294</v>
      </c>
      <c r="C1082" t="s">
        <v>30</v>
      </c>
      <c r="D1082" t="s">
        <v>24</v>
      </c>
      <c r="E1082">
        <v>11</v>
      </c>
      <c r="F1082">
        <v>16</v>
      </c>
      <c r="G1082">
        <v>176</v>
      </c>
      <c r="H1082">
        <v>0.12</v>
      </c>
      <c r="I1082">
        <v>21.119999999999997</v>
      </c>
      <c r="J1082" t="s">
        <v>22</v>
      </c>
    </row>
    <row r="1083" spans="1:10" x14ac:dyDescent="0.25">
      <c r="A1083" t="s">
        <v>1113</v>
      </c>
      <c r="B1083" s="1">
        <v>43294</v>
      </c>
      <c r="C1083" t="s">
        <v>11</v>
      </c>
      <c r="D1083" t="s">
        <v>31</v>
      </c>
      <c r="E1083">
        <v>16</v>
      </c>
      <c r="F1083">
        <v>80</v>
      </c>
      <c r="G1083">
        <v>1280</v>
      </c>
      <c r="H1083">
        <v>0.09</v>
      </c>
      <c r="I1083">
        <v>115.19999999999999</v>
      </c>
      <c r="J1083" t="s">
        <v>25</v>
      </c>
    </row>
    <row r="1084" spans="1:10" x14ac:dyDescent="0.25">
      <c r="A1084" t="s">
        <v>1114</v>
      </c>
      <c r="B1084" s="1">
        <v>43294</v>
      </c>
      <c r="C1084" t="s">
        <v>30</v>
      </c>
      <c r="D1084" t="s">
        <v>12</v>
      </c>
      <c r="E1084">
        <v>21</v>
      </c>
      <c r="F1084">
        <v>16</v>
      </c>
      <c r="G1084">
        <v>336</v>
      </c>
      <c r="H1084">
        <v>0.09</v>
      </c>
      <c r="I1084">
        <v>30.24</v>
      </c>
      <c r="J1084" t="s">
        <v>28</v>
      </c>
    </row>
    <row r="1085" spans="1:10" x14ac:dyDescent="0.25">
      <c r="A1085" t="s">
        <v>1115</v>
      </c>
      <c r="B1085" s="1">
        <v>43294</v>
      </c>
      <c r="C1085" t="s">
        <v>30</v>
      </c>
      <c r="D1085" t="s">
        <v>12</v>
      </c>
      <c r="E1085">
        <v>22</v>
      </c>
      <c r="F1085">
        <v>16</v>
      </c>
      <c r="G1085">
        <v>352</v>
      </c>
      <c r="H1085">
        <v>0.01</v>
      </c>
      <c r="I1085">
        <v>3.52</v>
      </c>
      <c r="J1085" t="s">
        <v>17</v>
      </c>
    </row>
    <row r="1086" spans="1:10" x14ac:dyDescent="0.25">
      <c r="A1086" t="s">
        <v>1116</v>
      </c>
      <c r="B1086" s="1">
        <v>43294</v>
      </c>
      <c r="C1086" t="s">
        <v>19</v>
      </c>
      <c r="D1086" t="s">
        <v>27</v>
      </c>
      <c r="E1086">
        <v>23</v>
      </c>
      <c r="F1086">
        <v>230</v>
      </c>
      <c r="G1086">
        <v>5290</v>
      </c>
      <c r="H1086">
        <v>0.06</v>
      </c>
      <c r="I1086">
        <v>317.39999999999998</v>
      </c>
      <c r="J1086" t="s">
        <v>20</v>
      </c>
    </row>
    <row r="1087" spans="1:10" x14ac:dyDescent="0.25">
      <c r="A1087" t="s">
        <v>1117</v>
      </c>
      <c r="B1087" s="1">
        <v>43294</v>
      </c>
      <c r="C1087" t="s">
        <v>34</v>
      </c>
      <c r="D1087" t="s">
        <v>12</v>
      </c>
      <c r="E1087">
        <v>9</v>
      </c>
      <c r="F1087">
        <v>150</v>
      </c>
      <c r="G1087">
        <v>1350</v>
      </c>
      <c r="H1087">
        <v>0.1</v>
      </c>
      <c r="I1087">
        <v>135</v>
      </c>
      <c r="J1087" t="s">
        <v>22</v>
      </c>
    </row>
    <row r="1088" spans="1:10" x14ac:dyDescent="0.25">
      <c r="A1088" t="s">
        <v>1118</v>
      </c>
      <c r="B1088" s="1">
        <v>43294</v>
      </c>
      <c r="C1088" t="s">
        <v>34</v>
      </c>
      <c r="D1088" t="s">
        <v>24</v>
      </c>
      <c r="E1088">
        <v>9</v>
      </c>
      <c r="F1088">
        <v>150</v>
      </c>
      <c r="G1088">
        <v>1350</v>
      </c>
      <c r="H1088">
        <v>0.06</v>
      </c>
      <c r="I1088">
        <v>81</v>
      </c>
      <c r="J1088" t="s">
        <v>25</v>
      </c>
    </row>
    <row r="1089" spans="1:10" x14ac:dyDescent="0.25">
      <c r="A1089" t="s">
        <v>1119</v>
      </c>
      <c r="B1089" s="1">
        <v>43295</v>
      </c>
      <c r="C1089" t="s">
        <v>19</v>
      </c>
      <c r="D1089" t="s">
        <v>12</v>
      </c>
      <c r="E1089">
        <v>9</v>
      </c>
      <c r="F1089">
        <v>230</v>
      </c>
      <c r="G1089">
        <v>2070</v>
      </c>
      <c r="H1089">
        <v>7.0000000000000007E-2</v>
      </c>
      <c r="I1089">
        <v>144.9</v>
      </c>
      <c r="J1089" t="s">
        <v>28</v>
      </c>
    </row>
    <row r="1090" spans="1:10" x14ac:dyDescent="0.25">
      <c r="A1090" t="s">
        <v>1120</v>
      </c>
      <c r="B1090" s="1">
        <v>43295</v>
      </c>
      <c r="C1090" t="s">
        <v>11</v>
      </c>
      <c r="D1090" t="s">
        <v>24</v>
      </c>
      <c r="E1090">
        <v>10</v>
      </c>
      <c r="F1090">
        <v>80</v>
      </c>
      <c r="G1090">
        <v>800</v>
      </c>
      <c r="H1090">
        <v>0.08</v>
      </c>
      <c r="I1090">
        <v>64</v>
      </c>
      <c r="J1090" t="s">
        <v>32</v>
      </c>
    </row>
    <row r="1091" spans="1:10" x14ac:dyDescent="0.25">
      <c r="A1091" t="s">
        <v>1121</v>
      </c>
      <c r="B1091" s="1">
        <v>43295</v>
      </c>
      <c r="C1091" t="s">
        <v>30</v>
      </c>
      <c r="D1091" t="s">
        <v>24</v>
      </c>
      <c r="E1091">
        <v>23</v>
      </c>
      <c r="F1091">
        <v>16</v>
      </c>
      <c r="G1091">
        <v>368</v>
      </c>
      <c r="H1091">
        <v>0.11</v>
      </c>
      <c r="I1091">
        <v>40.479999999999997</v>
      </c>
      <c r="J1091" t="s">
        <v>35</v>
      </c>
    </row>
    <row r="1092" spans="1:10" x14ac:dyDescent="0.25">
      <c r="A1092" t="s">
        <v>1122</v>
      </c>
      <c r="B1092" s="1">
        <v>43295</v>
      </c>
      <c r="C1092" t="s">
        <v>11</v>
      </c>
      <c r="D1092" t="s">
        <v>27</v>
      </c>
      <c r="E1092">
        <v>22</v>
      </c>
      <c r="F1092">
        <v>80</v>
      </c>
      <c r="G1092">
        <v>1760</v>
      </c>
      <c r="H1092">
        <v>0.03</v>
      </c>
      <c r="I1092">
        <v>52.8</v>
      </c>
      <c r="J1092" t="s">
        <v>37</v>
      </c>
    </row>
    <row r="1093" spans="1:10" x14ac:dyDescent="0.25">
      <c r="A1093" t="s">
        <v>1123</v>
      </c>
      <c r="B1093" s="1">
        <v>43295</v>
      </c>
      <c r="C1093" t="s">
        <v>11</v>
      </c>
      <c r="D1093" t="s">
        <v>27</v>
      </c>
      <c r="E1093">
        <v>4</v>
      </c>
      <c r="F1093">
        <v>80</v>
      </c>
      <c r="G1093">
        <v>320</v>
      </c>
      <c r="H1093">
        <v>0.11</v>
      </c>
      <c r="I1093">
        <v>35.200000000000003</v>
      </c>
      <c r="J1093" t="s">
        <v>39</v>
      </c>
    </row>
    <row r="1094" spans="1:10" x14ac:dyDescent="0.25">
      <c r="A1094" t="s">
        <v>1124</v>
      </c>
      <c r="B1094" s="1">
        <v>43295</v>
      </c>
      <c r="C1094" t="s">
        <v>30</v>
      </c>
      <c r="D1094" t="s">
        <v>12</v>
      </c>
      <c r="E1094">
        <v>22</v>
      </c>
      <c r="F1094">
        <v>16</v>
      </c>
      <c r="G1094">
        <v>352</v>
      </c>
      <c r="H1094">
        <v>0.06</v>
      </c>
      <c r="I1094">
        <v>21.119999999999997</v>
      </c>
      <c r="J1094" t="s">
        <v>41</v>
      </c>
    </row>
    <row r="1095" spans="1:10" x14ac:dyDescent="0.25">
      <c r="A1095" t="s">
        <v>1125</v>
      </c>
      <c r="B1095" s="1">
        <v>43295</v>
      </c>
      <c r="C1095" t="s">
        <v>15</v>
      </c>
      <c r="D1095" t="s">
        <v>16</v>
      </c>
      <c r="E1095">
        <v>15</v>
      </c>
      <c r="F1095">
        <v>40</v>
      </c>
      <c r="G1095">
        <v>600</v>
      </c>
      <c r="H1095">
        <v>0.02</v>
      </c>
      <c r="I1095">
        <v>12</v>
      </c>
      <c r="J1095" t="s">
        <v>43</v>
      </c>
    </row>
    <row r="1096" spans="1:10" x14ac:dyDescent="0.25">
      <c r="A1096" t="s">
        <v>1126</v>
      </c>
      <c r="B1096" s="1">
        <v>43295</v>
      </c>
      <c r="C1096" t="s">
        <v>15</v>
      </c>
      <c r="D1096" t="s">
        <v>31</v>
      </c>
      <c r="E1096">
        <v>7</v>
      </c>
      <c r="F1096">
        <v>40</v>
      </c>
      <c r="G1096">
        <v>280</v>
      </c>
      <c r="H1096">
        <v>0.04</v>
      </c>
      <c r="I1096">
        <v>11.200000000000001</v>
      </c>
      <c r="J1096" t="s">
        <v>13</v>
      </c>
    </row>
    <row r="1097" spans="1:10" x14ac:dyDescent="0.25">
      <c r="A1097" t="s">
        <v>1127</v>
      </c>
      <c r="B1097" s="1">
        <v>43295</v>
      </c>
      <c r="C1097" t="s">
        <v>30</v>
      </c>
      <c r="D1097" t="s">
        <v>31</v>
      </c>
      <c r="E1097">
        <v>2</v>
      </c>
      <c r="F1097">
        <v>16</v>
      </c>
      <c r="G1097">
        <v>32</v>
      </c>
      <c r="H1097">
        <v>0.04</v>
      </c>
      <c r="I1097">
        <v>1.28</v>
      </c>
      <c r="J1097" t="s">
        <v>17</v>
      </c>
    </row>
    <row r="1098" spans="1:10" x14ac:dyDescent="0.25">
      <c r="A1098" t="s">
        <v>1128</v>
      </c>
      <c r="B1098" s="1">
        <v>43295</v>
      </c>
      <c r="C1098" t="s">
        <v>11</v>
      </c>
      <c r="D1098" t="s">
        <v>27</v>
      </c>
      <c r="E1098">
        <v>7</v>
      </c>
      <c r="F1098">
        <v>80</v>
      </c>
      <c r="G1098">
        <v>560</v>
      </c>
      <c r="H1098">
        <v>0.02</v>
      </c>
      <c r="I1098">
        <v>11.200000000000001</v>
      </c>
      <c r="J1098" t="s">
        <v>20</v>
      </c>
    </row>
    <row r="1099" spans="1:10" x14ac:dyDescent="0.25">
      <c r="A1099" t="s">
        <v>1129</v>
      </c>
      <c r="B1099" s="1">
        <v>43296</v>
      </c>
      <c r="C1099" t="s">
        <v>30</v>
      </c>
      <c r="D1099" t="s">
        <v>31</v>
      </c>
      <c r="E1099">
        <v>22</v>
      </c>
      <c r="F1099">
        <v>16</v>
      </c>
      <c r="G1099">
        <v>352</v>
      </c>
      <c r="H1099">
        <v>0.12</v>
      </c>
      <c r="I1099">
        <v>42.239999999999995</v>
      </c>
      <c r="J1099" t="s">
        <v>22</v>
      </c>
    </row>
    <row r="1100" spans="1:10" x14ac:dyDescent="0.25">
      <c r="A1100" t="s">
        <v>1130</v>
      </c>
      <c r="B1100" s="1">
        <v>43296</v>
      </c>
      <c r="C1100" t="s">
        <v>15</v>
      </c>
      <c r="D1100" t="s">
        <v>16</v>
      </c>
      <c r="E1100">
        <v>21</v>
      </c>
      <c r="F1100">
        <v>40</v>
      </c>
      <c r="G1100">
        <v>840</v>
      </c>
      <c r="H1100">
        <v>0.03</v>
      </c>
      <c r="I1100">
        <v>25.2</v>
      </c>
      <c r="J1100" t="s">
        <v>25</v>
      </c>
    </row>
    <row r="1101" spans="1:10" x14ac:dyDescent="0.25">
      <c r="A1101" t="s">
        <v>1131</v>
      </c>
      <c r="B1101" s="1">
        <v>43296</v>
      </c>
      <c r="C1101" t="s">
        <v>11</v>
      </c>
      <c r="D1101" t="s">
        <v>12</v>
      </c>
      <c r="E1101">
        <v>6</v>
      </c>
      <c r="F1101">
        <v>80</v>
      </c>
      <c r="G1101">
        <v>480</v>
      </c>
      <c r="H1101">
        <v>0.01</v>
      </c>
      <c r="I1101">
        <v>4.8</v>
      </c>
      <c r="J1101" t="s">
        <v>28</v>
      </c>
    </row>
    <row r="1102" spans="1:10" x14ac:dyDescent="0.25">
      <c r="A1102" t="s">
        <v>1132</v>
      </c>
      <c r="B1102" s="1">
        <v>43296</v>
      </c>
      <c r="C1102" t="s">
        <v>11</v>
      </c>
      <c r="D1102" t="s">
        <v>31</v>
      </c>
      <c r="E1102">
        <v>13</v>
      </c>
      <c r="F1102">
        <v>80</v>
      </c>
      <c r="G1102">
        <v>1040</v>
      </c>
      <c r="H1102">
        <v>0.05</v>
      </c>
      <c r="I1102">
        <v>52</v>
      </c>
      <c r="J1102" t="s">
        <v>17</v>
      </c>
    </row>
    <row r="1103" spans="1:10" x14ac:dyDescent="0.25">
      <c r="A1103" t="s">
        <v>1133</v>
      </c>
      <c r="B1103" s="1">
        <v>43296</v>
      </c>
      <c r="C1103" t="s">
        <v>11</v>
      </c>
      <c r="D1103" t="s">
        <v>27</v>
      </c>
      <c r="E1103">
        <v>11</v>
      </c>
      <c r="F1103">
        <v>80</v>
      </c>
      <c r="G1103">
        <v>880</v>
      </c>
      <c r="H1103">
        <v>0.01</v>
      </c>
      <c r="I1103">
        <v>8.8000000000000007</v>
      </c>
      <c r="J1103" t="s">
        <v>20</v>
      </c>
    </row>
    <row r="1104" spans="1:10" x14ac:dyDescent="0.25">
      <c r="A1104" t="s">
        <v>1134</v>
      </c>
      <c r="B1104" s="1">
        <v>43296</v>
      </c>
      <c r="C1104" t="s">
        <v>15</v>
      </c>
      <c r="D1104" t="s">
        <v>12</v>
      </c>
      <c r="E1104">
        <v>18</v>
      </c>
      <c r="F1104">
        <v>40</v>
      </c>
      <c r="G1104">
        <v>720</v>
      </c>
      <c r="H1104">
        <v>0.06</v>
      </c>
      <c r="I1104">
        <v>43.199999999999996</v>
      </c>
      <c r="J1104" t="s">
        <v>22</v>
      </c>
    </row>
    <row r="1105" spans="1:10" x14ac:dyDescent="0.25">
      <c r="A1105" t="s">
        <v>1135</v>
      </c>
      <c r="B1105" s="1">
        <v>43296</v>
      </c>
      <c r="C1105" t="s">
        <v>34</v>
      </c>
      <c r="D1105" t="s">
        <v>27</v>
      </c>
      <c r="E1105">
        <v>7</v>
      </c>
      <c r="F1105">
        <v>150</v>
      </c>
      <c r="G1105">
        <v>1050</v>
      </c>
      <c r="H1105">
        <v>0.05</v>
      </c>
      <c r="I1105">
        <v>52.5</v>
      </c>
      <c r="J1105" t="s">
        <v>25</v>
      </c>
    </row>
    <row r="1106" spans="1:10" x14ac:dyDescent="0.25">
      <c r="A1106" t="s">
        <v>1136</v>
      </c>
      <c r="B1106" s="1">
        <v>43296</v>
      </c>
      <c r="C1106" t="s">
        <v>15</v>
      </c>
      <c r="D1106" t="s">
        <v>12</v>
      </c>
      <c r="E1106">
        <v>2</v>
      </c>
      <c r="F1106">
        <v>40</v>
      </c>
      <c r="G1106">
        <v>80</v>
      </c>
      <c r="H1106">
        <v>0.12</v>
      </c>
      <c r="I1106">
        <v>9.6</v>
      </c>
      <c r="J1106" t="s">
        <v>28</v>
      </c>
    </row>
    <row r="1107" spans="1:10" x14ac:dyDescent="0.25">
      <c r="A1107" t="s">
        <v>1137</v>
      </c>
      <c r="B1107" s="1">
        <v>43296</v>
      </c>
      <c r="C1107" t="s">
        <v>11</v>
      </c>
      <c r="D1107" t="s">
        <v>16</v>
      </c>
      <c r="E1107">
        <v>14</v>
      </c>
      <c r="F1107">
        <v>80</v>
      </c>
      <c r="G1107">
        <v>1120</v>
      </c>
      <c r="H1107">
        <v>0.06</v>
      </c>
      <c r="I1107">
        <v>67.2</v>
      </c>
      <c r="J1107" t="s">
        <v>32</v>
      </c>
    </row>
    <row r="1108" spans="1:10" x14ac:dyDescent="0.25">
      <c r="A1108" t="s">
        <v>1138</v>
      </c>
      <c r="B1108" s="1">
        <v>43296</v>
      </c>
      <c r="C1108" t="s">
        <v>34</v>
      </c>
      <c r="D1108" t="s">
        <v>31</v>
      </c>
      <c r="E1108">
        <v>7</v>
      </c>
      <c r="F1108">
        <v>150</v>
      </c>
      <c r="G1108">
        <v>1050</v>
      </c>
      <c r="H1108">
        <v>0.03</v>
      </c>
      <c r="I1108">
        <v>31.5</v>
      </c>
      <c r="J1108" t="s">
        <v>35</v>
      </c>
    </row>
    <row r="1109" spans="1:10" x14ac:dyDescent="0.25">
      <c r="A1109" t="s">
        <v>1139</v>
      </c>
      <c r="B1109" s="1">
        <v>43296</v>
      </c>
      <c r="C1109" t="s">
        <v>30</v>
      </c>
      <c r="D1109" t="s">
        <v>27</v>
      </c>
      <c r="E1109">
        <v>10</v>
      </c>
      <c r="F1109">
        <v>16</v>
      </c>
      <c r="G1109">
        <v>160</v>
      </c>
      <c r="H1109">
        <v>0.01</v>
      </c>
      <c r="I1109">
        <v>1.6</v>
      </c>
      <c r="J1109" t="s">
        <v>37</v>
      </c>
    </row>
    <row r="1110" spans="1:10" x14ac:dyDescent="0.25">
      <c r="A1110" t="s">
        <v>1140</v>
      </c>
      <c r="B1110" s="1">
        <v>43297</v>
      </c>
      <c r="C1110" t="s">
        <v>15</v>
      </c>
      <c r="D1110" t="s">
        <v>16</v>
      </c>
      <c r="E1110">
        <v>7</v>
      </c>
      <c r="F1110">
        <v>40</v>
      </c>
      <c r="G1110">
        <v>280</v>
      </c>
      <c r="H1110">
        <v>0.01</v>
      </c>
      <c r="I1110">
        <v>2.8000000000000003</v>
      </c>
      <c r="J1110" t="s">
        <v>39</v>
      </c>
    </row>
    <row r="1111" spans="1:10" x14ac:dyDescent="0.25">
      <c r="A1111" t="s">
        <v>1141</v>
      </c>
      <c r="B1111" s="1">
        <v>43297</v>
      </c>
      <c r="C1111" t="s">
        <v>30</v>
      </c>
      <c r="D1111" t="s">
        <v>27</v>
      </c>
      <c r="E1111">
        <v>7</v>
      </c>
      <c r="F1111">
        <v>16</v>
      </c>
      <c r="G1111">
        <v>112</v>
      </c>
      <c r="H1111">
        <v>0.08</v>
      </c>
      <c r="I1111">
        <v>8.9600000000000009</v>
      </c>
      <c r="J1111" t="s">
        <v>41</v>
      </c>
    </row>
    <row r="1112" spans="1:10" x14ac:dyDescent="0.25">
      <c r="A1112" t="s">
        <v>1142</v>
      </c>
      <c r="B1112" s="1">
        <v>43297</v>
      </c>
      <c r="C1112" t="s">
        <v>34</v>
      </c>
      <c r="D1112" t="s">
        <v>24</v>
      </c>
      <c r="E1112">
        <v>15</v>
      </c>
      <c r="F1112">
        <v>150</v>
      </c>
      <c r="G1112">
        <v>2250</v>
      </c>
      <c r="H1112">
        <v>0.05</v>
      </c>
      <c r="I1112">
        <v>112.5</v>
      </c>
      <c r="J1112" t="s">
        <v>43</v>
      </c>
    </row>
    <row r="1113" spans="1:10" x14ac:dyDescent="0.25">
      <c r="A1113" t="s">
        <v>1143</v>
      </c>
      <c r="B1113" s="1">
        <v>43297</v>
      </c>
      <c r="C1113" t="s">
        <v>11</v>
      </c>
      <c r="D1113" t="s">
        <v>12</v>
      </c>
      <c r="E1113">
        <v>7</v>
      </c>
      <c r="F1113">
        <v>80</v>
      </c>
      <c r="G1113">
        <v>560</v>
      </c>
      <c r="H1113">
        <v>0.02</v>
      </c>
      <c r="I1113">
        <v>11.200000000000001</v>
      </c>
      <c r="J1113" t="s">
        <v>13</v>
      </c>
    </row>
    <row r="1114" spans="1:10" x14ac:dyDescent="0.25">
      <c r="A1114" t="s">
        <v>1144</v>
      </c>
      <c r="B1114" s="1">
        <v>43297</v>
      </c>
      <c r="C1114" t="s">
        <v>15</v>
      </c>
      <c r="D1114" t="s">
        <v>24</v>
      </c>
      <c r="E1114">
        <v>6</v>
      </c>
      <c r="F1114">
        <v>40</v>
      </c>
      <c r="G1114">
        <v>240</v>
      </c>
      <c r="H1114">
        <v>0.06</v>
      </c>
      <c r="I1114">
        <v>14.399999999999999</v>
      </c>
      <c r="J1114" t="s">
        <v>17</v>
      </c>
    </row>
    <row r="1115" spans="1:10" x14ac:dyDescent="0.25">
      <c r="A1115" t="s">
        <v>1145</v>
      </c>
      <c r="B1115" s="1">
        <v>43297</v>
      </c>
      <c r="C1115" t="s">
        <v>19</v>
      </c>
      <c r="D1115" t="s">
        <v>12</v>
      </c>
      <c r="E1115">
        <v>3</v>
      </c>
      <c r="F1115">
        <v>230</v>
      </c>
      <c r="G1115">
        <v>690</v>
      </c>
      <c r="H1115">
        <v>0.06</v>
      </c>
      <c r="I1115">
        <v>41.4</v>
      </c>
      <c r="J1115" t="s">
        <v>20</v>
      </c>
    </row>
    <row r="1116" spans="1:10" x14ac:dyDescent="0.25">
      <c r="A1116" t="s">
        <v>1146</v>
      </c>
      <c r="B1116" s="1">
        <v>43297</v>
      </c>
      <c r="C1116" t="s">
        <v>34</v>
      </c>
      <c r="D1116" t="s">
        <v>24</v>
      </c>
      <c r="E1116">
        <v>20</v>
      </c>
      <c r="F1116">
        <v>150</v>
      </c>
      <c r="G1116">
        <v>3000</v>
      </c>
      <c r="H1116">
        <v>0.04</v>
      </c>
      <c r="I1116">
        <v>120</v>
      </c>
      <c r="J1116" t="s">
        <v>22</v>
      </c>
    </row>
    <row r="1117" spans="1:10" x14ac:dyDescent="0.25">
      <c r="A1117" t="s">
        <v>1147</v>
      </c>
      <c r="B1117" s="1">
        <v>43297</v>
      </c>
      <c r="C1117" t="s">
        <v>19</v>
      </c>
      <c r="D1117" t="s">
        <v>24</v>
      </c>
      <c r="E1117">
        <v>20</v>
      </c>
      <c r="F1117">
        <v>230</v>
      </c>
      <c r="G1117">
        <v>4600</v>
      </c>
      <c r="H1117">
        <v>0.06</v>
      </c>
      <c r="I1117">
        <v>276</v>
      </c>
      <c r="J1117" t="s">
        <v>25</v>
      </c>
    </row>
    <row r="1118" spans="1:10" x14ac:dyDescent="0.25">
      <c r="A1118" t="s">
        <v>1148</v>
      </c>
      <c r="B1118" s="1">
        <v>43297</v>
      </c>
      <c r="C1118" t="s">
        <v>30</v>
      </c>
      <c r="D1118" t="s">
        <v>24</v>
      </c>
      <c r="E1118">
        <v>14</v>
      </c>
      <c r="F1118">
        <v>16</v>
      </c>
      <c r="G1118">
        <v>224</v>
      </c>
      <c r="H1118">
        <v>0.01</v>
      </c>
      <c r="I1118">
        <v>2.2400000000000002</v>
      </c>
      <c r="J1118" t="s">
        <v>28</v>
      </c>
    </row>
    <row r="1119" spans="1:10" x14ac:dyDescent="0.25">
      <c r="A1119" t="s">
        <v>1149</v>
      </c>
      <c r="B1119" s="1">
        <v>43297</v>
      </c>
      <c r="C1119" t="s">
        <v>34</v>
      </c>
      <c r="D1119" t="s">
        <v>24</v>
      </c>
      <c r="E1119">
        <v>20</v>
      </c>
      <c r="F1119">
        <v>150</v>
      </c>
      <c r="G1119">
        <v>3000</v>
      </c>
      <c r="H1119">
        <v>0.04</v>
      </c>
      <c r="I1119">
        <v>120</v>
      </c>
      <c r="J1119" t="s">
        <v>17</v>
      </c>
    </row>
    <row r="1120" spans="1:10" x14ac:dyDescent="0.25">
      <c r="A1120" t="s">
        <v>1150</v>
      </c>
      <c r="B1120" s="1">
        <v>43297</v>
      </c>
      <c r="C1120" t="s">
        <v>11</v>
      </c>
      <c r="D1120" t="s">
        <v>12</v>
      </c>
      <c r="E1120">
        <v>17</v>
      </c>
      <c r="F1120">
        <v>80</v>
      </c>
      <c r="G1120">
        <v>1360</v>
      </c>
      <c r="H1120">
        <v>0.09</v>
      </c>
      <c r="I1120">
        <v>122.39999999999999</v>
      </c>
      <c r="J1120" t="s">
        <v>20</v>
      </c>
    </row>
    <row r="1121" spans="1:10" x14ac:dyDescent="0.25">
      <c r="A1121" t="s">
        <v>1151</v>
      </c>
      <c r="B1121" s="1">
        <v>43298</v>
      </c>
      <c r="C1121" t="s">
        <v>34</v>
      </c>
      <c r="D1121" t="s">
        <v>24</v>
      </c>
      <c r="E1121">
        <v>20</v>
      </c>
      <c r="F1121">
        <v>150</v>
      </c>
      <c r="G1121">
        <v>3000</v>
      </c>
      <c r="H1121">
        <v>0.12</v>
      </c>
      <c r="I1121">
        <v>360</v>
      </c>
      <c r="J1121" t="s">
        <v>22</v>
      </c>
    </row>
    <row r="1122" spans="1:10" x14ac:dyDescent="0.25">
      <c r="A1122" t="s">
        <v>1152</v>
      </c>
      <c r="B1122" s="1">
        <v>43298</v>
      </c>
      <c r="C1122" t="s">
        <v>30</v>
      </c>
      <c r="D1122" t="s">
        <v>24</v>
      </c>
      <c r="E1122">
        <v>11</v>
      </c>
      <c r="F1122">
        <v>16</v>
      </c>
      <c r="G1122">
        <v>176</v>
      </c>
      <c r="H1122">
        <v>0.04</v>
      </c>
      <c r="I1122">
        <v>7.04</v>
      </c>
      <c r="J1122" t="s">
        <v>25</v>
      </c>
    </row>
    <row r="1123" spans="1:10" x14ac:dyDescent="0.25">
      <c r="A1123" t="s">
        <v>1153</v>
      </c>
      <c r="B1123" s="1">
        <v>43298</v>
      </c>
      <c r="C1123" t="s">
        <v>19</v>
      </c>
      <c r="D1123" t="s">
        <v>31</v>
      </c>
      <c r="E1123">
        <v>7</v>
      </c>
      <c r="F1123">
        <v>230</v>
      </c>
      <c r="G1123">
        <v>1610</v>
      </c>
      <c r="H1123">
        <v>0.05</v>
      </c>
      <c r="I1123">
        <v>80.5</v>
      </c>
      <c r="J1123" t="s">
        <v>28</v>
      </c>
    </row>
    <row r="1124" spans="1:10" x14ac:dyDescent="0.25">
      <c r="A1124" t="s">
        <v>1154</v>
      </c>
      <c r="B1124" s="1">
        <v>43298</v>
      </c>
      <c r="C1124" t="s">
        <v>15</v>
      </c>
      <c r="D1124" t="s">
        <v>16</v>
      </c>
      <c r="E1124">
        <v>14</v>
      </c>
      <c r="F1124">
        <v>40</v>
      </c>
      <c r="G1124">
        <v>560</v>
      </c>
      <c r="H1124">
        <v>0.06</v>
      </c>
      <c r="I1124">
        <v>33.6</v>
      </c>
      <c r="J1124" t="s">
        <v>32</v>
      </c>
    </row>
    <row r="1125" spans="1:10" x14ac:dyDescent="0.25">
      <c r="A1125" t="s">
        <v>1155</v>
      </c>
      <c r="B1125" s="1">
        <v>43298</v>
      </c>
      <c r="C1125" t="s">
        <v>11</v>
      </c>
      <c r="D1125" t="s">
        <v>16</v>
      </c>
      <c r="E1125">
        <v>13</v>
      </c>
      <c r="F1125">
        <v>80</v>
      </c>
      <c r="G1125">
        <v>1040</v>
      </c>
      <c r="H1125">
        <v>0.06</v>
      </c>
      <c r="I1125">
        <v>62.4</v>
      </c>
      <c r="J1125" t="s">
        <v>35</v>
      </c>
    </row>
    <row r="1126" spans="1:10" x14ac:dyDescent="0.25">
      <c r="A1126" t="s">
        <v>1156</v>
      </c>
      <c r="B1126" s="1">
        <v>43298</v>
      </c>
      <c r="C1126" t="s">
        <v>30</v>
      </c>
      <c r="D1126" t="s">
        <v>24</v>
      </c>
      <c r="E1126">
        <v>17</v>
      </c>
      <c r="F1126">
        <v>16</v>
      </c>
      <c r="G1126">
        <v>272</v>
      </c>
      <c r="H1126">
        <v>0.05</v>
      </c>
      <c r="I1126">
        <v>13.600000000000001</v>
      </c>
      <c r="J1126" t="s">
        <v>37</v>
      </c>
    </row>
    <row r="1127" spans="1:10" x14ac:dyDescent="0.25">
      <c r="A1127" t="s">
        <v>1157</v>
      </c>
      <c r="B1127" s="1">
        <v>43298</v>
      </c>
      <c r="C1127" t="s">
        <v>19</v>
      </c>
      <c r="D1127" t="s">
        <v>24</v>
      </c>
      <c r="E1127">
        <v>12</v>
      </c>
      <c r="F1127">
        <v>230</v>
      </c>
      <c r="G1127">
        <v>2760</v>
      </c>
      <c r="H1127">
        <v>0.03</v>
      </c>
      <c r="I1127">
        <v>82.8</v>
      </c>
      <c r="J1127" t="s">
        <v>39</v>
      </c>
    </row>
    <row r="1128" spans="1:10" x14ac:dyDescent="0.25">
      <c r="A1128" t="s">
        <v>1158</v>
      </c>
      <c r="B1128" s="1">
        <v>43298</v>
      </c>
      <c r="C1128" t="s">
        <v>15</v>
      </c>
      <c r="D1128" t="s">
        <v>16</v>
      </c>
      <c r="E1128">
        <v>4</v>
      </c>
      <c r="F1128">
        <v>40</v>
      </c>
      <c r="G1128">
        <v>160</v>
      </c>
      <c r="H1128">
        <v>0.12</v>
      </c>
      <c r="I1128">
        <v>19.2</v>
      </c>
      <c r="J1128" t="s">
        <v>41</v>
      </c>
    </row>
    <row r="1129" spans="1:10" x14ac:dyDescent="0.25">
      <c r="A1129" t="s">
        <v>1159</v>
      </c>
      <c r="B1129" s="1">
        <v>43298</v>
      </c>
      <c r="C1129" t="s">
        <v>30</v>
      </c>
      <c r="D1129" t="s">
        <v>12</v>
      </c>
      <c r="E1129">
        <v>20</v>
      </c>
      <c r="F1129">
        <v>16</v>
      </c>
      <c r="G1129">
        <v>320</v>
      </c>
      <c r="H1129">
        <v>0.01</v>
      </c>
      <c r="I1129">
        <v>3.2</v>
      </c>
      <c r="J1129" t="s">
        <v>43</v>
      </c>
    </row>
    <row r="1130" spans="1:10" x14ac:dyDescent="0.25">
      <c r="A1130" t="s">
        <v>1160</v>
      </c>
      <c r="B1130" s="1">
        <v>43298</v>
      </c>
      <c r="C1130" t="s">
        <v>11</v>
      </c>
      <c r="D1130" t="s">
        <v>27</v>
      </c>
      <c r="E1130">
        <v>8</v>
      </c>
      <c r="F1130">
        <v>80</v>
      </c>
      <c r="G1130">
        <v>640</v>
      </c>
      <c r="H1130">
        <v>0.06</v>
      </c>
      <c r="I1130">
        <v>38.4</v>
      </c>
      <c r="J1130" t="s">
        <v>13</v>
      </c>
    </row>
    <row r="1131" spans="1:10" x14ac:dyDescent="0.25">
      <c r="A1131" t="s">
        <v>1161</v>
      </c>
      <c r="B1131" s="1">
        <v>43298</v>
      </c>
      <c r="C1131" t="s">
        <v>11</v>
      </c>
      <c r="D1131" t="s">
        <v>12</v>
      </c>
      <c r="E1131">
        <v>18</v>
      </c>
      <c r="F1131">
        <v>80</v>
      </c>
      <c r="G1131">
        <v>1440</v>
      </c>
      <c r="H1131">
        <v>0.02</v>
      </c>
      <c r="I1131">
        <v>28.8</v>
      </c>
      <c r="J1131" t="s">
        <v>17</v>
      </c>
    </row>
    <row r="1132" spans="1:10" x14ac:dyDescent="0.25">
      <c r="A1132" t="s">
        <v>1162</v>
      </c>
      <c r="B1132" s="1">
        <v>43298</v>
      </c>
      <c r="C1132" t="s">
        <v>30</v>
      </c>
      <c r="D1132" t="s">
        <v>24</v>
      </c>
      <c r="E1132">
        <v>6</v>
      </c>
      <c r="F1132">
        <v>16</v>
      </c>
      <c r="G1132">
        <v>96</v>
      </c>
      <c r="H1132">
        <v>0.06</v>
      </c>
      <c r="I1132">
        <v>5.76</v>
      </c>
      <c r="J1132" t="s">
        <v>20</v>
      </c>
    </row>
    <row r="1133" spans="1:10" x14ac:dyDescent="0.25">
      <c r="A1133" t="s">
        <v>1163</v>
      </c>
      <c r="B1133" s="1">
        <v>43298</v>
      </c>
      <c r="C1133" t="s">
        <v>11</v>
      </c>
      <c r="D1133" t="s">
        <v>12</v>
      </c>
      <c r="E1133">
        <v>9</v>
      </c>
      <c r="F1133">
        <v>80</v>
      </c>
      <c r="G1133">
        <v>720</v>
      </c>
      <c r="H1133">
        <v>0.04</v>
      </c>
      <c r="I1133">
        <v>28.8</v>
      </c>
      <c r="J1133" t="s">
        <v>22</v>
      </c>
    </row>
    <row r="1134" spans="1:10" x14ac:dyDescent="0.25">
      <c r="A1134" t="s">
        <v>1164</v>
      </c>
      <c r="B1134" s="1">
        <v>43299</v>
      </c>
      <c r="C1134" t="s">
        <v>11</v>
      </c>
      <c r="D1134" t="s">
        <v>24</v>
      </c>
      <c r="E1134">
        <v>8</v>
      </c>
      <c r="F1134">
        <v>80</v>
      </c>
      <c r="G1134">
        <v>640</v>
      </c>
      <c r="H1134">
        <v>0.02</v>
      </c>
      <c r="I1134">
        <v>12.8</v>
      </c>
      <c r="J1134" t="s">
        <v>25</v>
      </c>
    </row>
    <row r="1135" spans="1:10" x14ac:dyDescent="0.25">
      <c r="A1135" t="s">
        <v>1165</v>
      </c>
      <c r="B1135" s="1">
        <v>43299</v>
      </c>
      <c r="C1135" t="s">
        <v>34</v>
      </c>
      <c r="D1135" t="s">
        <v>27</v>
      </c>
      <c r="E1135">
        <v>6</v>
      </c>
      <c r="F1135">
        <v>150</v>
      </c>
      <c r="G1135">
        <v>900</v>
      </c>
      <c r="H1135">
        <v>0.03</v>
      </c>
      <c r="I1135">
        <v>27</v>
      </c>
      <c r="J1135" t="s">
        <v>28</v>
      </c>
    </row>
    <row r="1136" spans="1:10" x14ac:dyDescent="0.25">
      <c r="A1136" t="s">
        <v>1166</v>
      </c>
      <c r="B1136" s="1">
        <v>43299</v>
      </c>
      <c r="C1136" t="s">
        <v>30</v>
      </c>
      <c r="D1136" t="s">
        <v>27</v>
      </c>
      <c r="E1136">
        <v>14</v>
      </c>
      <c r="F1136">
        <v>16</v>
      </c>
      <c r="G1136">
        <v>224</v>
      </c>
      <c r="H1136">
        <v>0.12</v>
      </c>
      <c r="I1136">
        <v>26.88</v>
      </c>
      <c r="J1136" t="s">
        <v>17</v>
      </c>
    </row>
    <row r="1137" spans="1:10" x14ac:dyDescent="0.25">
      <c r="A1137" t="s">
        <v>1167</v>
      </c>
      <c r="B1137" s="1">
        <v>43299</v>
      </c>
      <c r="C1137" t="s">
        <v>11</v>
      </c>
      <c r="D1137" t="s">
        <v>24</v>
      </c>
      <c r="E1137">
        <v>6</v>
      </c>
      <c r="F1137">
        <v>80</v>
      </c>
      <c r="G1137">
        <v>480</v>
      </c>
      <c r="H1137">
        <v>0.09</v>
      </c>
      <c r="I1137">
        <v>43.199999999999996</v>
      </c>
      <c r="J1137" t="s">
        <v>20</v>
      </c>
    </row>
    <row r="1138" spans="1:10" x14ac:dyDescent="0.25">
      <c r="A1138" t="s">
        <v>1168</v>
      </c>
      <c r="B1138" s="1">
        <v>43299</v>
      </c>
      <c r="C1138" t="s">
        <v>15</v>
      </c>
      <c r="D1138" t="s">
        <v>31</v>
      </c>
      <c r="E1138">
        <v>23</v>
      </c>
      <c r="F1138">
        <v>40</v>
      </c>
      <c r="G1138">
        <v>920</v>
      </c>
      <c r="H1138">
        <v>0.04</v>
      </c>
      <c r="I1138">
        <v>36.800000000000004</v>
      </c>
      <c r="J1138" t="s">
        <v>22</v>
      </c>
    </row>
    <row r="1139" spans="1:10" x14ac:dyDescent="0.25">
      <c r="A1139" t="s">
        <v>1169</v>
      </c>
      <c r="B1139" s="1">
        <v>43299</v>
      </c>
      <c r="C1139" t="s">
        <v>15</v>
      </c>
      <c r="D1139" t="s">
        <v>24</v>
      </c>
      <c r="E1139">
        <v>12</v>
      </c>
      <c r="F1139">
        <v>40</v>
      </c>
      <c r="G1139">
        <v>480</v>
      </c>
      <c r="H1139">
        <v>0.02</v>
      </c>
      <c r="I1139">
        <v>9.6</v>
      </c>
      <c r="J1139" t="s">
        <v>25</v>
      </c>
    </row>
    <row r="1140" spans="1:10" x14ac:dyDescent="0.25">
      <c r="A1140" t="s">
        <v>1170</v>
      </c>
      <c r="B1140" s="1">
        <v>43299</v>
      </c>
      <c r="C1140" t="s">
        <v>15</v>
      </c>
      <c r="D1140" t="s">
        <v>27</v>
      </c>
      <c r="E1140">
        <v>22</v>
      </c>
      <c r="F1140">
        <v>40</v>
      </c>
      <c r="G1140">
        <v>880</v>
      </c>
      <c r="H1140">
        <v>0.01</v>
      </c>
      <c r="I1140">
        <v>8.8000000000000007</v>
      </c>
      <c r="J1140" t="s">
        <v>28</v>
      </c>
    </row>
    <row r="1141" spans="1:10" x14ac:dyDescent="0.25">
      <c r="A1141" t="s">
        <v>1171</v>
      </c>
      <c r="B1141" s="1">
        <v>43299</v>
      </c>
      <c r="C1141" t="s">
        <v>34</v>
      </c>
      <c r="D1141" t="s">
        <v>27</v>
      </c>
      <c r="E1141">
        <v>6</v>
      </c>
      <c r="F1141">
        <v>150</v>
      </c>
      <c r="G1141">
        <v>900</v>
      </c>
      <c r="H1141">
        <v>0.03</v>
      </c>
      <c r="I1141">
        <v>27</v>
      </c>
      <c r="J1141" t="s">
        <v>32</v>
      </c>
    </row>
    <row r="1142" spans="1:10" x14ac:dyDescent="0.25">
      <c r="A1142" t="s">
        <v>1172</v>
      </c>
      <c r="B1142" s="1">
        <v>43299</v>
      </c>
      <c r="C1142" t="s">
        <v>30</v>
      </c>
      <c r="D1142" t="s">
        <v>31</v>
      </c>
      <c r="E1142">
        <v>19</v>
      </c>
      <c r="F1142">
        <v>16</v>
      </c>
      <c r="G1142">
        <v>304</v>
      </c>
      <c r="H1142">
        <v>0.02</v>
      </c>
      <c r="I1142">
        <v>6.08</v>
      </c>
      <c r="J1142" t="s">
        <v>35</v>
      </c>
    </row>
    <row r="1143" spans="1:10" x14ac:dyDescent="0.25">
      <c r="A1143" t="s">
        <v>1173</v>
      </c>
      <c r="B1143" s="1">
        <v>43299</v>
      </c>
      <c r="C1143" t="s">
        <v>15</v>
      </c>
      <c r="D1143" t="s">
        <v>24</v>
      </c>
      <c r="E1143">
        <v>2</v>
      </c>
      <c r="F1143">
        <v>40</v>
      </c>
      <c r="G1143">
        <v>80</v>
      </c>
      <c r="H1143">
        <v>0.02</v>
      </c>
      <c r="I1143">
        <v>1.6</v>
      </c>
      <c r="J1143" t="s">
        <v>37</v>
      </c>
    </row>
    <row r="1144" spans="1:10" x14ac:dyDescent="0.25">
      <c r="A1144" t="s">
        <v>1174</v>
      </c>
      <c r="B1144" s="1">
        <v>43300</v>
      </c>
      <c r="C1144" t="s">
        <v>15</v>
      </c>
      <c r="D1144" t="s">
        <v>27</v>
      </c>
      <c r="E1144">
        <v>22</v>
      </c>
      <c r="F1144">
        <v>40</v>
      </c>
      <c r="G1144">
        <v>880</v>
      </c>
      <c r="H1144">
        <v>0.01</v>
      </c>
      <c r="I1144">
        <v>8.8000000000000007</v>
      </c>
      <c r="J1144" t="s">
        <v>39</v>
      </c>
    </row>
    <row r="1145" spans="1:10" x14ac:dyDescent="0.25">
      <c r="A1145" t="s">
        <v>1175</v>
      </c>
      <c r="B1145" s="1">
        <v>43300</v>
      </c>
      <c r="C1145" t="s">
        <v>19</v>
      </c>
      <c r="D1145" t="s">
        <v>27</v>
      </c>
      <c r="E1145">
        <v>3</v>
      </c>
      <c r="F1145">
        <v>230</v>
      </c>
      <c r="G1145">
        <v>690</v>
      </c>
      <c r="H1145">
        <v>0.01</v>
      </c>
      <c r="I1145">
        <v>6.9</v>
      </c>
      <c r="J1145" t="s">
        <v>41</v>
      </c>
    </row>
    <row r="1146" spans="1:10" x14ac:dyDescent="0.25">
      <c r="A1146" t="s">
        <v>1176</v>
      </c>
      <c r="B1146" s="1">
        <v>43300</v>
      </c>
      <c r="C1146" t="s">
        <v>15</v>
      </c>
      <c r="D1146" t="s">
        <v>27</v>
      </c>
      <c r="E1146">
        <v>23</v>
      </c>
      <c r="F1146">
        <v>40</v>
      </c>
      <c r="G1146">
        <v>920</v>
      </c>
      <c r="H1146">
        <v>0.06</v>
      </c>
      <c r="I1146">
        <v>55.199999999999996</v>
      </c>
      <c r="J1146" t="s">
        <v>43</v>
      </c>
    </row>
    <row r="1147" spans="1:10" x14ac:dyDescent="0.25">
      <c r="A1147" t="s">
        <v>1177</v>
      </c>
      <c r="B1147" s="1">
        <v>43300</v>
      </c>
      <c r="C1147" t="s">
        <v>15</v>
      </c>
      <c r="D1147" t="s">
        <v>31</v>
      </c>
      <c r="E1147">
        <v>5</v>
      </c>
      <c r="F1147">
        <v>40</v>
      </c>
      <c r="G1147">
        <v>200</v>
      </c>
      <c r="H1147">
        <v>0.03</v>
      </c>
      <c r="I1147">
        <v>6</v>
      </c>
      <c r="J1147" t="s">
        <v>13</v>
      </c>
    </row>
    <row r="1148" spans="1:10" x14ac:dyDescent="0.25">
      <c r="A1148" t="s">
        <v>1178</v>
      </c>
      <c r="B1148" s="1">
        <v>43300</v>
      </c>
      <c r="C1148" t="s">
        <v>11</v>
      </c>
      <c r="D1148" t="s">
        <v>12</v>
      </c>
      <c r="E1148">
        <v>8</v>
      </c>
      <c r="F1148">
        <v>80</v>
      </c>
      <c r="G1148">
        <v>640</v>
      </c>
      <c r="H1148">
        <v>0.08</v>
      </c>
      <c r="I1148">
        <v>51.2</v>
      </c>
      <c r="J1148" t="s">
        <v>17</v>
      </c>
    </row>
    <row r="1149" spans="1:10" x14ac:dyDescent="0.25">
      <c r="A1149" t="s">
        <v>1179</v>
      </c>
      <c r="B1149" s="1">
        <v>43300</v>
      </c>
      <c r="C1149" t="s">
        <v>15</v>
      </c>
      <c r="D1149" t="s">
        <v>24</v>
      </c>
      <c r="E1149">
        <v>18</v>
      </c>
      <c r="F1149">
        <v>40</v>
      </c>
      <c r="G1149">
        <v>720</v>
      </c>
      <c r="H1149">
        <v>0.03</v>
      </c>
      <c r="I1149">
        <v>21.599999999999998</v>
      </c>
      <c r="J1149" t="s">
        <v>20</v>
      </c>
    </row>
    <row r="1150" spans="1:10" x14ac:dyDescent="0.25">
      <c r="A1150" t="s">
        <v>1180</v>
      </c>
      <c r="B1150" s="1">
        <v>43300</v>
      </c>
      <c r="C1150" t="s">
        <v>15</v>
      </c>
      <c r="D1150" t="s">
        <v>31</v>
      </c>
      <c r="E1150">
        <v>20</v>
      </c>
      <c r="F1150">
        <v>40</v>
      </c>
      <c r="G1150">
        <v>800</v>
      </c>
      <c r="H1150">
        <v>0.1</v>
      </c>
      <c r="I1150">
        <v>80</v>
      </c>
      <c r="J1150" t="s">
        <v>22</v>
      </c>
    </row>
    <row r="1151" spans="1:10" x14ac:dyDescent="0.25">
      <c r="A1151" t="s">
        <v>1181</v>
      </c>
      <c r="B1151" s="1">
        <v>43300</v>
      </c>
      <c r="C1151" t="s">
        <v>15</v>
      </c>
      <c r="D1151" t="s">
        <v>24</v>
      </c>
      <c r="E1151">
        <v>2</v>
      </c>
      <c r="F1151">
        <v>40</v>
      </c>
      <c r="G1151">
        <v>80</v>
      </c>
      <c r="H1151">
        <v>0.03</v>
      </c>
      <c r="I1151">
        <v>2.4</v>
      </c>
      <c r="J1151" t="s">
        <v>25</v>
      </c>
    </row>
    <row r="1152" spans="1:10" x14ac:dyDescent="0.25">
      <c r="A1152" t="s">
        <v>1182</v>
      </c>
      <c r="B1152" s="1">
        <v>43300</v>
      </c>
      <c r="C1152" t="s">
        <v>19</v>
      </c>
      <c r="D1152" t="s">
        <v>12</v>
      </c>
      <c r="E1152">
        <v>15</v>
      </c>
      <c r="F1152">
        <v>230</v>
      </c>
      <c r="G1152">
        <v>3450</v>
      </c>
      <c r="H1152">
        <v>0.05</v>
      </c>
      <c r="I1152">
        <v>172.5</v>
      </c>
      <c r="J1152" t="s">
        <v>28</v>
      </c>
    </row>
    <row r="1153" spans="1:10" x14ac:dyDescent="0.25">
      <c r="A1153" t="s">
        <v>1183</v>
      </c>
      <c r="B1153" s="1">
        <v>43300</v>
      </c>
      <c r="C1153" t="s">
        <v>34</v>
      </c>
      <c r="D1153" t="s">
        <v>27</v>
      </c>
      <c r="E1153">
        <v>15</v>
      </c>
      <c r="F1153">
        <v>150</v>
      </c>
      <c r="G1153">
        <v>2250</v>
      </c>
      <c r="H1153">
        <v>0.08</v>
      </c>
      <c r="I1153">
        <v>180</v>
      </c>
      <c r="J1153" t="s">
        <v>17</v>
      </c>
    </row>
    <row r="1154" spans="1:10" x14ac:dyDescent="0.25">
      <c r="A1154" t="s">
        <v>1184</v>
      </c>
      <c r="B1154" s="1">
        <v>43300</v>
      </c>
      <c r="C1154" t="s">
        <v>34</v>
      </c>
      <c r="D1154" t="s">
        <v>27</v>
      </c>
      <c r="E1154">
        <v>22</v>
      </c>
      <c r="F1154">
        <v>150</v>
      </c>
      <c r="G1154">
        <v>3300</v>
      </c>
      <c r="H1154">
        <v>0.05</v>
      </c>
      <c r="I1154">
        <v>165</v>
      </c>
      <c r="J1154" t="s">
        <v>20</v>
      </c>
    </row>
    <row r="1155" spans="1:10" x14ac:dyDescent="0.25">
      <c r="A1155" t="s">
        <v>1185</v>
      </c>
      <c r="B1155" s="1">
        <v>43300</v>
      </c>
      <c r="C1155" t="s">
        <v>19</v>
      </c>
      <c r="D1155" t="s">
        <v>16</v>
      </c>
      <c r="E1155">
        <v>19</v>
      </c>
      <c r="F1155">
        <v>230</v>
      </c>
      <c r="G1155">
        <v>4370</v>
      </c>
      <c r="H1155">
        <v>0.11</v>
      </c>
      <c r="I1155">
        <v>480.7</v>
      </c>
      <c r="J1155" t="s">
        <v>22</v>
      </c>
    </row>
    <row r="1156" spans="1:10" x14ac:dyDescent="0.25">
      <c r="A1156" t="s">
        <v>1186</v>
      </c>
      <c r="B1156" s="1">
        <v>43300</v>
      </c>
      <c r="C1156" t="s">
        <v>11</v>
      </c>
      <c r="D1156" t="s">
        <v>16</v>
      </c>
      <c r="E1156">
        <v>10</v>
      </c>
      <c r="F1156">
        <v>80</v>
      </c>
      <c r="G1156">
        <v>800</v>
      </c>
      <c r="H1156">
        <v>0.11</v>
      </c>
      <c r="I1156">
        <v>88</v>
      </c>
      <c r="J1156" t="s">
        <v>25</v>
      </c>
    </row>
    <row r="1157" spans="1:10" x14ac:dyDescent="0.25">
      <c r="A1157" t="s">
        <v>1187</v>
      </c>
      <c r="B1157" s="1">
        <v>43300</v>
      </c>
      <c r="C1157" t="s">
        <v>15</v>
      </c>
      <c r="D1157" t="s">
        <v>27</v>
      </c>
      <c r="E1157">
        <v>18</v>
      </c>
      <c r="F1157">
        <v>40</v>
      </c>
      <c r="G1157">
        <v>720</v>
      </c>
      <c r="H1157">
        <v>0.06</v>
      </c>
      <c r="I1157">
        <v>43.199999999999996</v>
      </c>
      <c r="J1157" t="s">
        <v>28</v>
      </c>
    </row>
    <row r="1158" spans="1:10" x14ac:dyDescent="0.25">
      <c r="A1158" t="s">
        <v>1188</v>
      </c>
      <c r="B1158" s="1">
        <v>43300</v>
      </c>
      <c r="C1158" t="s">
        <v>11</v>
      </c>
      <c r="D1158" t="s">
        <v>27</v>
      </c>
      <c r="E1158">
        <v>16</v>
      </c>
      <c r="F1158">
        <v>80</v>
      </c>
      <c r="G1158">
        <v>1280</v>
      </c>
      <c r="H1158">
        <v>0.05</v>
      </c>
      <c r="I1158">
        <v>64</v>
      </c>
      <c r="J1158" t="s">
        <v>32</v>
      </c>
    </row>
    <row r="1159" spans="1:10" x14ac:dyDescent="0.25">
      <c r="A1159" t="s">
        <v>1189</v>
      </c>
      <c r="B1159" s="1">
        <v>43300</v>
      </c>
      <c r="C1159" t="s">
        <v>34</v>
      </c>
      <c r="D1159" t="s">
        <v>31</v>
      </c>
      <c r="E1159">
        <v>17</v>
      </c>
      <c r="F1159">
        <v>150</v>
      </c>
      <c r="G1159">
        <v>2550</v>
      </c>
      <c r="H1159">
        <v>0.02</v>
      </c>
      <c r="I1159">
        <v>51</v>
      </c>
      <c r="J1159" t="s">
        <v>35</v>
      </c>
    </row>
    <row r="1160" spans="1:10" x14ac:dyDescent="0.25">
      <c r="A1160" t="s">
        <v>1190</v>
      </c>
      <c r="B1160" s="1">
        <v>43301</v>
      </c>
      <c r="C1160" t="s">
        <v>19</v>
      </c>
      <c r="D1160" t="s">
        <v>12</v>
      </c>
      <c r="E1160">
        <v>8</v>
      </c>
      <c r="F1160">
        <v>230</v>
      </c>
      <c r="G1160">
        <v>1840</v>
      </c>
      <c r="H1160">
        <v>0.03</v>
      </c>
      <c r="I1160">
        <v>55.199999999999996</v>
      </c>
      <c r="J1160" t="s">
        <v>37</v>
      </c>
    </row>
    <row r="1161" spans="1:10" x14ac:dyDescent="0.25">
      <c r="A1161" t="s">
        <v>1191</v>
      </c>
      <c r="B1161" s="1">
        <v>43301</v>
      </c>
      <c r="C1161" t="s">
        <v>11</v>
      </c>
      <c r="D1161" t="s">
        <v>27</v>
      </c>
      <c r="E1161">
        <v>11</v>
      </c>
      <c r="F1161">
        <v>80</v>
      </c>
      <c r="G1161">
        <v>880</v>
      </c>
      <c r="H1161">
        <v>0.01</v>
      </c>
      <c r="I1161">
        <v>8.8000000000000007</v>
      </c>
      <c r="J1161" t="s">
        <v>39</v>
      </c>
    </row>
    <row r="1162" spans="1:10" x14ac:dyDescent="0.25">
      <c r="A1162" t="s">
        <v>1192</v>
      </c>
      <c r="B1162" s="1">
        <v>43301</v>
      </c>
      <c r="C1162" t="s">
        <v>15</v>
      </c>
      <c r="D1162" t="s">
        <v>12</v>
      </c>
      <c r="E1162">
        <v>5</v>
      </c>
      <c r="F1162">
        <v>40</v>
      </c>
      <c r="G1162">
        <v>200</v>
      </c>
      <c r="H1162">
        <v>0.06</v>
      </c>
      <c r="I1162">
        <v>12</v>
      </c>
      <c r="J1162" t="s">
        <v>41</v>
      </c>
    </row>
    <row r="1163" spans="1:10" x14ac:dyDescent="0.25">
      <c r="A1163" t="s">
        <v>1193</v>
      </c>
      <c r="B1163" s="1">
        <v>43301</v>
      </c>
      <c r="C1163" t="s">
        <v>15</v>
      </c>
      <c r="D1163" t="s">
        <v>31</v>
      </c>
      <c r="E1163">
        <v>11</v>
      </c>
      <c r="F1163">
        <v>40</v>
      </c>
      <c r="G1163">
        <v>440</v>
      </c>
      <c r="H1163">
        <v>0.05</v>
      </c>
      <c r="I1163">
        <v>22</v>
      </c>
      <c r="J1163" t="s">
        <v>43</v>
      </c>
    </row>
    <row r="1164" spans="1:10" x14ac:dyDescent="0.25">
      <c r="A1164" t="s">
        <v>1194</v>
      </c>
      <c r="B1164" s="1">
        <v>43301</v>
      </c>
      <c r="C1164" t="s">
        <v>34</v>
      </c>
      <c r="D1164" t="s">
        <v>27</v>
      </c>
      <c r="E1164">
        <v>20</v>
      </c>
      <c r="F1164">
        <v>150</v>
      </c>
      <c r="G1164">
        <v>3000</v>
      </c>
      <c r="H1164">
        <v>0.1</v>
      </c>
      <c r="I1164">
        <v>300</v>
      </c>
      <c r="J1164" t="s">
        <v>13</v>
      </c>
    </row>
    <row r="1165" spans="1:10" x14ac:dyDescent="0.25">
      <c r="A1165" t="s">
        <v>1195</v>
      </c>
      <c r="B1165" s="1">
        <v>43301</v>
      </c>
      <c r="C1165" t="s">
        <v>34</v>
      </c>
      <c r="D1165" t="s">
        <v>24</v>
      </c>
      <c r="E1165">
        <v>11</v>
      </c>
      <c r="F1165">
        <v>150</v>
      </c>
      <c r="G1165">
        <v>1650</v>
      </c>
      <c r="H1165">
        <v>0.11</v>
      </c>
      <c r="I1165">
        <v>181.5</v>
      </c>
      <c r="J1165" t="s">
        <v>17</v>
      </c>
    </row>
    <row r="1166" spans="1:10" x14ac:dyDescent="0.25">
      <c r="A1166" t="s">
        <v>1196</v>
      </c>
      <c r="B1166" s="1">
        <v>43301</v>
      </c>
      <c r="C1166" t="s">
        <v>11</v>
      </c>
      <c r="D1166" t="s">
        <v>27</v>
      </c>
      <c r="E1166">
        <v>2</v>
      </c>
      <c r="F1166">
        <v>80</v>
      </c>
      <c r="G1166">
        <v>160</v>
      </c>
      <c r="H1166">
        <v>0.08</v>
      </c>
      <c r="I1166">
        <v>12.8</v>
      </c>
      <c r="J1166" t="s">
        <v>20</v>
      </c>
    </row>
    <row r="1167" spans="1:10" x14ac:dyDescent="0.25">
      <c r="A1167" t="s">
        <v>1197</v>
      </c>
      <c r="B1167" s="1">
        <v>43301</v>
      </c>
      <c r="C1167" t="s">
        <v>34</v>
      </c>
      <c r="D1167" t="s">
        <v>16</v>
      </c>
      <c r="E1167">
        <v>16</v>
      </c>
      <c r="F1167">
        <v>150</v>
      </c>
      <c r="G1167">
        <v>2400</v>
      </c>
      <c r="H1167">
        <v>0.08</v>
      </c>
      <c r="I1167">
        <v>192</v>
      </c>
      <c r="J1167" t="s">
        <v>22</v>
      </c>
    </row>
    <row r="1168" spans="1:10" x14ac:dyDescent="0.25">
      <c r="A1168" t="s">
        <v>1198</v>
      </c>
      <c r="B1168" s="1">
        <v>43301</v>
      </c>
      <c r="C1168" t="s">
        <v>30</v>
      </c>
      <c r="D1168" t="s">
        <v>12</v>
      </c>
      <c r="E1168">
        <v>20</v>
      </c>
      <c r="F1168">
        <v>16</v>
      </c>
      <c r="G1168">
        <v>320</v>
      </c>
      <c r="H1168">
        <v>0.11</v>
      </c>
      <c r="I1168">
        <v>35.200000000000003</v>
      </c>
      <c r="J1168" t="s">
        <v>25</v>
      </c>
    </row>
    <row r="1169" spans="1:10" x14ac:dyDescent="0.25">
      <c r="A1169" t="s">
        <v>1199</v>
      </c>
      <c r="B1169" s="1">
        <v>43301</v>
      </c>
      <c r="C1169" t="s">
        <v>19</v>
      </c>
      <c r="D1169" t="s">
        <v>24</v>
      </c>
      <c r="E1169">
        <v>2</v>
      </c>
      <c r="F1169">
        <v>230</v>
      </c>
      <c r="G1169">
        <v>460</v>
      </c>
      <c r="H1169">
        <v>0.09</v>
      </c>
      <c r="I1169">
        <v>41.4</v>
      </c>
      <c r="J1169" t="s">
        <v>28</v>
      </c>
    </row>
    <row r="1170" spans="1:10" x14ac:dyDescent="0.25">
      <c r="A1170" t="s">
        <v>1200</v>
      </c>
      <c r="B1170" s="1">
        <v>43301</v>
      </c>
      <c r="C1170" t="s">
        <v>34</v>
      </c>
      <c r="D1170" t="s">
        <v>12</v>
      </c>
      <c r="E1170">
        <v>20</v>
      </c>
      <c r="F1170">
        <v>150</v>
      </c>
      <c r="G1170">
        <v>3000</v>
      </c>
      <c r="H1170">
        <v>0.04</v>
      </c>
      <c r="I1170">
        <v>120</v>
      </c>
      <c r="J1170" t="s">
        <v>17</v>
      </c>
    </row>
    <row r="1171" spans="1:10" x14ac:dyDescent="0.25">
      <c r="A1171" t="s">
        <v>1201</v>
      </c>
      <c r="B1171" s="1">
        <v>43301</v>
      </c>
      <c r="C1171" t="s">
        <v>34</v>
      </c>
      <c r="D1171" t="s">
        <v>12</v>
      </c>
      <c r="E1171">
        <v>22</v>
      </c>
      <c r="F1171">
        <v>150</v>
      </c>
      <c r="G1171">
        <v>3300</v>
      </c>
      <c r="H1171">
        <v>7.0000000000000007E-2</v>
      </c>
      <c r="I1171">
        <v>231.00000000000003</v>
      </c>
      <c r="J1171" t="s">
        <v>20</v>
      </c>
    </row>
    <row r="1172" spans="1:10" x14ac:dyDescent="0.25">
      <c r="A1172" t="s">
        <v>1202</v>
      </c>
      <c r="B1172" s="1">
        <v>43301</v>
      </c>
      <c r="C1172" t="s">
        <v>34</v>
      </c>
      <c r="D1172" t="s">
        <v>24</v>
      </c>
      <c r="E1172">
        <v>22</v>
      </c>
      <c r="F1172">
        <v>150</v>
      </c>
      <c r="G1172">
        <v>3300</v>
      </c>
      <c r="H1172">
        <v>0.04</v>
      </c>
      <c r="I1172">
        <v>132</v>
      </c>
      <c r="J1172" t="s">
        <v>22</v>
      </c>
    </row>
    <row r="1173" spans="1:10" x14ac:dyDescent="0.25">
      <c r="A1173" t="s">
        <v>1203</v>
      </c>
      <c r="B1173" s="1">
        <v>43301</v>
      </c>
      <c r="C1173" t="s">
        <v>15</v>
      </c>
      <c r="D1173" t="s">
        <v>12</v>
      </c>
      <c r="E1173">
        <v>23</v>
      </c>
      <c r="F1173">
        <v>40</v>
      </c>
      <c r="G1173">
        <v>920</v>
      </c>
      <c r="H1173">
        <v>7.0000000000000007E-2</v>
      </c>
      <c r="I1173">
        <v>64.400000000000006</v>
      </c>
      <c r="J1173" t="s">
        <v>25</v>
      </c>
    </row>
    <row r="1174" spans="1:10" x14ac:dyDescent="0.25">
      <c r="A1174" t="s">
        <v>1204</v>
      </c>
      <c r="B1174" s="1">
        <v>43302</v>
      </c>
      <c r="C1174" t="s">
        <v>30</v>
      </c>
      <c r="D1174" t="s">
        <v>24</v>
      </c>
      <c r="E1174">
        <v>11</v>
      </c>
      <c r="F1174">
        <v>16</v>
      </c>
      <c r="G1174">
        <v>176</v>
      </c>
      <c r="H1174">
        <v>0.04</v>
      </c>
      <c r="I1174">
        <v>7.04</v>
      </c>
      <c r="J1174" t="s">
        <v>28</v>
      </c>
    </row>
    <row r="1175" spans="1:10" x14ac:dyDescent="0.25">
      <c r="A1175" t="s">
        <v>1205</v>
      </c>
      <c r="B1175" s="1">
        <v>43302</v>
      </c>
      <c r="C1175" t="s">
        <v>19</v>
      </c>
      <c r="D1175" t="s">
        <v>16</v>
      </c>
      <c r="E1175">
        <v>11</v>
      </c>
      <c r="F1175">
        <v>230</v>
      </c>
      <c r="G1175">
        <v>2530</v>
      </c>
      <c r="H1175">
        <v>0.1</v>
      </c>
      <c r="I1175">
        <v>253</v>
      </c>
      <c r="J1175" t="s">
        <v>32</v>
      </c>
    </row>
    <row r="1176" spans="1:10" x14ac:dyDescent="0.25">
      <c r="A1176" t="s">
        <v>1206</v>
      </c>
      <c r="B1176" s="1">
        <v>43302</v>
      </c>
      <c r="C1176" t="s">
        <v>19</v>
      </c>
      <c r="D1176" t="s">
        <v>12</v>
      </c>
      <c r="E1176">
        <v>7</v>
      </c>
      <c r="F1176">
        <v>230</v>
      </c>
      <c r="G1176">
        <v>1610</v>
      </c>
      <c r="H1176">
        <v>0.08</v>
      </c>
      <c r="I1176">
        <v>128.80000000000001</v>
      </c>
      <c r="J1176" t="s">
        <v>35</v>
      </c>
    </row>
    <row r="1177" spans="1:10" x14ac:dyDescent="0.25">
      <c r="A1177" t="s">
        <v>1207</v>
      </c>
      <c r="B1177" s="1">
        <v>43302</v>
      </c>
      <c r="C1177" t="s">
        <v>19</v>
      </c>
      <c r="D1177" t="s">
        <v>27</v>
      </c>
      <c r="E1177">
        <v>16</v>
      </c>
      <c r="F1177">
        <v>230</v>
      </c>
      <c r="G1177">
        <v>3680</v>
      </c>
      <c r="H1177">
        <v>0.11</v>
      </c>
      <c r="I1177">
        <v>404.8</v>
      </c>
      <c r="J1177" t="s">
        <v>39</v>
      </c>
    </row>
    <row r="1178" spans="1:10" x14ac:dyDescent="0.25">
      <c r="A1178" t="s">
        <v>1208</v>
      </c>
      <c r="B1178" s="1">
        <v>43302</v>
      </c>
      <c r="C1178" t="s">
        <v>19</v>
      </c>
      <c r="D1178" t="s">
        <v>31</v>
      </c>
      <c r="E1178">
        <v>20</v>
      </c>
      <c r="F1178">
        <v>230</v>
      </c>
      <c r="G1178">
        <v>4600</v>
      </c>
      <c r="H1178">
        <v>0.09</v>
      </c>
      <c r="I1178">
        <v>414</v>
      </c>
      <c r="J1178" t="s">
        <v>41</v>
      </c>
    </row>
    <row r="1179" spans="1:10" x14ac:dyDescent="0.25">
      <c r="A1179" t="s">
        <v>1209</v>
      </c>
      <c r="B1179" s="1">
        <v>43302</v>
      </c>
      <c r="C1179" t="s">
        <v>15</v>
      </c>
      <c r="D1179" t="s">
        <v>24</v>
      </c>
      <c r="E1179">
        <v>20</v>
      </c>
      <c r="F1179">
        <v>40</v>
      </c>
      <c r="G1179">
        <v>800</v>
      </c>
      <c r="H1179">
        <v>0.01</v>
      </c>
      <c r="I1179">
        <v>8</v>
      </c>
      <c r="J1179" t="s">
        <v>43</v>
      </c>
    </row>
    <row r="1180" spans="1:10" x14ac:dyDescent="0.25">
      <c r="A1180" t="s">
        <v>1210</v>
      </c>
      <c r="B1180" s="1">
        <v>43302</v>
      </c>
      <c r="C1180" t="s">
        <v>11</v>
      </c>
      <c r="D1180" t="s">
        <v>12</v>
      </c>
      <c r="E1180">
        <v>20</v>
      </c>
      <c r="F1180">
        <v>80</v>
      </c>
      <c r="G1180">
        <v>1600</v>
      </c>
      <c r="H1180">
        <v>0.01</v>
      </c>
      <c r="I1180">
        <v>16</v>
      </c>
      <c r="J1180" t="s">
        <v>13</v>
      </c>
    </row>
    <row r="1181" spans="1:10" x14ac:dyDescent="0.25">
      <c r="A1181" t="s">
        <v>1211</v>
      </c>
      <c r="B1181" s="1">
        <v>43302</v>
      </c>
      <c r="C1181" t="s">
        <v>34</v>
      </c>
      <c r="D1181" t="s">
        <v>12</v>
      </c>
      <c r="E1181">
        <v>5</v>
      </c>
      <c r="F1181">
        <v>150</v>
      </c>
      <c r="G1181">
        <v>750</v>
      </c>
      <c r="H1181">
        <v>0.11</v>
      </c>
      <c r="I1181">
        <v>82.5</v>
      </c>
      <c r="J1181" t="s">
        <v>17</v>
      </c>
    </row>
    <row r="1182" spans="1:10" x14ac:dyDescent="0.25">
      <c r="A1182" t="s">
        <v>1212</v>
      </c>
      <c r="B1182" s="1">
        <v>43303</v>
      </c>
      <c r="C1182" t="s">
        <v>15</v>
      </c>
      <c r="D1182" t="s">
        <v>24</v>
      </c>
      <c r="E1182">
        <v>4</v>
      </c>
      <c r="F1182">
        <v>40</v>
      </c>
      <c r="G1182">
        <v>160</v>
      </c>
      <c r="H1182">
        <v>0.11</v>
      </c>
      <c r="I1182">
        <v>17.600000000000001</v>
      </c>
      <c r="J1182" t="s">
        <v>20</v>
      </c>
    </row>
    <row r="1183" spans="1:10" x14ac:dyDescent="0.25">
      <c r="A1183" t="s">
        <v>1213</v>
      </c>
      <c r="B1183" s="1">
        <v>43303</v>
      </c>
      <c r="C1183" t="s">
        <v>30</v>
      </c>
      <c r="D1183" t="s">
        <v>12</v>
      </c>
      <c r="E1183">
        <v>7</v>
      </c>
      <c r="F1183">
        <v>16</v>
      </c>
      <c r="G1183">
        <v>112</v>
      </c>
      <c r="H1183">
        <v>0.12</v>
      </c>
      <c r="I1183">
        <v>13.44</v>
      </c>
      <c r="J1183" t="s">
        <v>22</v>
      </c>
    </row>
    <row r="1184" spans="1:10" x14ac:dyDescent="0.25">
      <c r="A1184" t="s">
        <v>1214</v>
      </c>
      <c r="B1184" s="1">
        <v>43303</v>
      </c>
      <c r="C1184" t="s">
        <v>30</v>
      </c>
      <c r="D1184" t="s">
        <v>16</v>
      </c>
      <c r="E1184">
        <v>22</v>
      </c>
      <c r="F1184">
        <v>16</v>
      </c>
      <c r="G1184">
        <v>352</v>
      </c>
      <c r="H1184">
        <v>0.01</v>
      </c>
      <c r="I1184">
        <v>3.52</v>
      </c>
      <c r="J1184" t="s">
        <v>25</v>
      </c>
    </row>
    <row r="1185" spans="1:10" x14ac:dyDescent="0.25">
      <c r="A1185" t="s">
        <v>1215</v>
      </c>
      <c r="B1185" s="1">
        <v>43303</v>
      </c>
      <c r="C1185" t="s">
        <v>15</v>
      </c>
      <c r="D1185" t="s">
        <v>27</v>
      </c>
      <c r="E1185">
        <v>15</v>
      </c>
      <c r="F1185">
        <v>40</v>
      </c>
      <c r="G1185">
        <v>600</v>
      </c>
      <c r="H1185">
        <v>0.03</v>
      </c>
      <c r="I1185">
        <v>18</v>
      </c>
      <c r="J1185" t="s">
        <v>28</v>
      </c>
    </row>
    <row r="1186" spans="1:10" x14ac:dyDescent="0.25">
      <c r="A1186" t="s">
        <v>1216</v>
      </c>
      <c r="B1186" s="1">
        <v>43303</v>
      </c>
      <c r="C1186" t="s">
        <v>11</v>
      </c>
      <c r="D1186" t="s">
        <v>16</v>
      </c>
      <c r="E1186">
        <v>14</v>
      </c>
      <c r="F1186">
        <v>80</v>
      </c>
      <c r="G1186">
        <v>1120</v>
      </c>
      <c r="H1186">
        <v>0.11</v>
      </c>
      <c r="I1186">
        <v>123.2</v>
      </c>
      <c r="J1186" t="s">
        <v>17</v>
      </c>
    </row>
    <row r="1187" spans="1:10" x14ac:dyDescent="0.25">
      <c r="A1187" t="s">
        <v>1217</v>
      </c>
      <c r="B1187" s="1">
        <v>43303</v>
      </c>
      <c r="C1187" t="s">
        <v>30</v>
      </c>
      <c r="D1187" t="s">
        <v>16</v>
      </c>
      <c r="E1187">
        <v>15</v>
      </c>
      <c r="F1187">
        <v>16</v>
      </c>
      <c r="G1187">
        <v>240</v>
      </c>
      <c r="H1187">
        <v>0.02</v>
      </c>
      <c r="I1187">
        <v>4.8</v>
      </c>
      <c r="J1187" t="s">
        <v>20</v>
      </c>
    </row>
    <row r="1188" spans="1:10" x14ac:dyDescent="0.25">
      <c r="A1188" t="s">
        <v>1218</v>
      </c>
      <c r="B1188" s="1">
        <v>43304</v>
      </c>
      <c r="C1188" t="s">
        <v>11</v>
      </c>
      <c r="D1188" t="s">
        <v>27</v>
      </c>
      <c r="E1188">
        <v>19</v>
      </c>
      <c r="F1188">
        <v>80</v>
      </c>
      <c r="G1188">
        <v>1520</v>
      </c>
      <c r="H1188">
        <v>0.02</v>
      </c>
      <c r="I1188">
        <v>30.400000000000002</v>
      </c>
      <c r="J1188" t="s">
        <v>22</v>
      </c>
    </row>
    <row r="1189" spans="1:10" x14ac:dyDescent="0.25">
      <c r="A1189" t="s">
        <v>1219</v>
      </c>
      <c r="B1189" s="1">
        <v>43304</v>
      </c>
      <c r="C1189" t="s">
        <v>15</v>
      </c>
      <c r="D1189" t="s">
        <v>31</v>
      </c>
      <c r="E1189">
        <v>20</v>
      </c>
      <c r="F1189">
        <v>40</v>
      </c>
      <c r="G1189">
        <v>800</v>
      </c>
      <c r="H1189">
        <v>0.05</v>
      </c>
      <c r="I1189">
        <v>40</v>
      </c>
      <c r="J1189" t="s">
        <v>25</v>
      </c>
    </row>
    <row r="1190" spans="1:10" x14ac:dyDescent="0.25">
      <c r="A1190" t="s">
        <v>1220</v>
      </c>
      <c r="B1190" s="1">
        <v>43304</v>
      </c>
      <c r="C1190" t="s">
        <v>15</v>
      </c>
      <c r="D1190" t="s">
        <v>27</v>
      </c>
      <c r="E1190">
        <v>11</v>
      </c>
      <c r="F1190">
        <v>40</v>
      </c>
      <c r="G1190">
        <v>440</v>
      </c>
      <c r="H1190">
        <v>0.06</v>
      </c>
      <c r="I1190">
        <v>26.4</v>
      </c>
      <c r="J1190" t="s">
        <v>28</v>
      </c>
    </row>
    <row r="1191" spans="1:10" x14ac:dyDescent="0.25">
      <c r="A1191" t="s">
        <v>1221</v>
      </c>
      <c r="B1191" s="1">
        <v>43304</v>
      </c>
      <c r="C1191" t="s">
        <v>34</v>
      </c>
      <c r="D1191" t="s">
        <v>24</v>
      </c>
      <c r="E1191">
        <v>11</v>
      </c>
      <c r="F1191">
        <v>150</v>
      </c>
      <c r="G1191">
        <v>1650</v>
      </c>
      <c r="H1191">
        <v>0.05</v>
      </c>
      <c r="I1191">
        <v>82.5</v>
      </c>
      <c r="J1191" t="s">
        <v>32</v>
      </c>
    </row>
    <row r="1192" spans="1:10" x14ac:dyDescent="0.25">
      <c r="A1192" t="s">
        <v>1222</v>
      </c>
      <c r="B1192" s="1">
        <v>43304</v>
      </c>
      <c r="C1192" t="s">
        <v>11</v>
      </c>
      <c r="D1192" t="s">
        <v>27</v>
      </c>
      <c r="E1192">
        <v>23</v>
      </c>
      <c r="F1192">
        <v>80</v>
      </c>
      <c r="G1192">
        <v>1840</v>
      </c>
      <c r="H1192">
        <v>0.11</v>
      </c>
      <c r="I1192">
        <v>202.4</v>
      </c>
      <c r="J1192" t="s">
        <v>35</v>
      </c>
    </row>
    <row r="1193" spans="1:10" x14ac:dyDescent="0.25">
      <c r="A1193" t="s">
        <v>1223</v>
      </c>
      <c r="B1193" s="1">
        <v>43304</v>
      </c>
      <c r="C1193" t="s">
        <v>11</v>
      </c>
      <c r="D1193" t="s">
        <v>12</v>
      </c>
      <c r="E1193">
        <v>8</v>
      </c>
      <c r="F1193">
        <v>80</v>
      </c>
      <c r="G1193">
        <v>640</v>
      </c>
      <c r="H1193">
        <v>0.09</v>
      </c>
      <c r="I1193">
        <v>57.599999999999994</v>
      </c>
      <c r="J1193" t="s">
        <v>37</v>
      </c>
    </row>
    <row r="1194" spans="1:10" x14ac:dyDescent="0.25">
      <c r="A1194" t="s">
        <v>1224</v>
      </c>
      <c r="B1194" s="1">
        <v>43304</v>
      </c>
      <c r="C1194" t="s">
        <v>15</v>
      </c>
      <c r="D1194" t="s">
        <v>27</v>
      </c>
      <c r="E1194">
        <v>9</v>
      </c>
      <c r="F1194">
        <v>40</v>
      </c>
      <c r="G1194">
        <v>360</v>
      </c>
      <c r="H1194">
        <v>0.06</v>
      </c>
      <c r="I1194">
        <v>21.599999999999998</v>
      </c>
      <c r="J1194" t="s">
        <v>39</v>
      </c>
    </row>
    <row r="1195" spans="1:10" x14ac:dyDescent="0.25">
      <c r="A1195" t="s">
        <v>1225</v>
      </c>
      <c r="B1195" s="1">
        <v>43304</v>
      </c>
      <c r="C1195" t="s">
        <v>19</v>
      </c>
      <c r="D1195" t="s">
        <v>31</v>
      </c>
      <c r="E1195">
        <v>13</v>
      </c>
      <c r="F1195">
        <v>230</v>
      </c>
      <c r="G1195">
        <v>2990</v>
      </c>
      <c r="H1195">
        <v>0.06</v>
      </c>
      <c r="I1195">
        <v>179.4</v>
      </c>
      <c r="J1195" t="s">
        <v>41</v>
      </c>
    </row>
    <row r="1196" spans="1:10" x14ac:dyDescent="0.25">
      <c r="A1196" t="s">
        <v>1226</v>
      </c>
      <c r="B1196" s="1">
        <v>43304</v>
      </c>
      <c r="C1196" t="s">
        <v>15</v>
      </c>
      <c r="D1196" t="s">
        <v>27</v>
      </c>
      <c r="E1196">
        <v>22</v>
      </c>
      <c r="F1196">
        <v>40</v>
      </c>
      <c r="G1196">
        <v>880</v>
      </c>
      <c r="H1196">
        <v>0.01</v>
      </c>
      <c r="I1196">
        <v>8.8000000000000007</v>
      </c>
      <c r="J1196" t="s">
        <v>43</v>
      </c>
    </row>
    <row r="1197" spans="1:10" x14ac:dyDescent="0.25">
      <c r="A1197" t="s">
        <v>1227</v>
      </c>
      <c r="B1197" s="1">
        <v>43304</v>
      </c>
      <c r="C1197" t="s">
        <v>30</v>
      </c>
      <c r="D1197" t="s">
        <v>31</v>
      </c>
      <c r="E1197">
        <v>14</v>
      </c>
      <c r="F1197">
        <v>16</v>
      </c>
      <c r="G1197">
        <v>224</v>
      </c>
      <c r="H1197">
        <v>0.06</v>
      </c>
      <c r="I1197">
        <v>13.44</v>
      </c>
      <c r="J1197" t="s">
        <v>13</v>
      </c>
    </row>
    <row r="1198" spans="1:10" x14ac:dyDescent="0.25">
      <c r="A1198" t="s">
        <v>1228</v>
      </c>
      <c r="B1198" s="1">
        <v>43305</v>
      </c>
      <c r="C1198" t="s">
        <v>11</v>
      </c>
      <c r="D1198" t="s">
        <v>16</v>
      </c>
      <c r="E1198">
        <v>5</v>
      </c>
      <c r="F1198">
        <v>80</v>
      </c>
      <c r="G1198">
        <v>400</v>
      </c>
      <c r="H1198">
        <v>0.04</v>
      </c>
      <c r="I1198">
        <v>16</v>
      </c>
      <c r="J1198" t="s">
        <v>17</v>
      </c>
    </row>
    <row r="1199" spans="1:10" x14ac:dyDescent="0.25">
      <c r="A1199" t="s">
        <v>1229</v>
      </c>
      <c r="B1199" s="1">
        <v>43305</v>
      </c>
      <c r="C1199" t="s">
        <v>34</v>
      </c>
      <c r="D1199" t="s">
        <v>31</v>
      </c>
      <c r="E1199">
        <v>18</v>
      </c>
      <c r="F1199">
        <v>150</v>
      </c>
      <c r="G1199">
        <v>2700</v>
      </c>
      <c r="H1199">
        <v>0.12</v>
      </c>
      <c r="I1199">
        <v>324</v>
      </c>
      <c r="J1199" t="s">
        <v>20</v>
      </c>
    </row>
    <row r="1200" spans="1:10" x14ac:dyDescent="0.25">
      <c r="A1200" t="s">
        <v>1230</v>
      </c>
      <c r="B1200" s="1">
        <v>43305</v>
      </c>
      <c r="C1200" t="s">
        <v>19</v>
      </c>
      <c r="D1200" t="s">
        <v>24</v>
      </c>
      <c r="E1200">
        <v>14</v>
      </c>
      <c r="F1200">
        <v>230</v>
      </c>
      <c r="G1200">
        <v>3220</v>
      </c>
      <c r="H1200">
        <v>0.12</v>
      </c>
      <c r="I1200">
        <v>386.4</v>
      </c>
      <c r="J1200" t="s">
        <v>22</v>
      </c>
    </row>
    <row r="1201" spans="1:10" x14ac:dyDescent="0.25">
      <c r="A1201" t="s">
        <v>1231</v>
      </c>
      <c r="B1201" s="1">
        <v>43305</v>
      </c>
      <c r="C1201" t="s">
        <v>19</v>
      </c>
      <c r="D1201" t="s">
        <v>31</v>
      </c>
      <c r="E1201">
        <v>20</v>
      </c>
      <c r="F1201">
        <v>230</v>
      </c>
      <c r="G1201">
        <v>4600</v>
      </c>
      <c r="H1201">
        <v>0.11</v>
      </c>
      <c r="I1201">
        <v>506</v>
      </c>
      <c r="J1201" t="s">
        <v>25</v>
      </c>
    </row>
    <row r="1202" spans="1:10" x14ac:dyDescent="0.25">
      <c r="A1202" t="s">
        <v>1232</v>
      </c>
      <c r="B1202" s="1">
        <v>43305</v>
      </c>
      <c r="C1202" t="s">
        <v>30</v>
      </c>
      <c r="D1202" t="s">
        <v>31</v>
      </c>
      <c r="E1202">
        <v>3</v>
      </c>
      <c r="F1202">
        <v>16</v>
      </c>
      <c r="G1202">
        <v>48</v>
      </c>
      <c r="H1202">
        <v>0.03</v>
      </c>
      <c r="I1202">
        <v>1.44</v>
      </c>
      <c r="J1202" t="s">
        <v>28</v>
      </c>
    </row>
    <row r="1203" spans="1:10" x14ac:dyDescent="0.25">
      <c r="A1203" t="s">
        <v>1233</v>
      </c>
      <c r="B1203" s="1">
        <v>43305</v>
      </c>
      <c r="C1203" t="s">
        <v>19</v>
      </c>
      <c r="D1203" t="s">
        <v>24</v>
      </c>
      <c r="E1203">
        <v>20</v>
      </c>
      <c r="F1203">
        <v>230</v>
      </c>
      <c r="G1203">
        <v>4600</v>
      </c>
      <c r="H1203">
        <v>0.06</v>
      </c>
      <c r="I1203">
        <v>276</v>
      </c>
      <c r="J1203" t="s">
        <v>17</v>
      </c>
    </row>
    <row r="1204" spans="1:10" x14ac:dyDescent="0.25">
      <c r="A1204" t="s">
        <v>1234</v>
      </c>
      <c r="B1204" s="1">
        <v>43305</v>
      </c>
      <c r="C1204" t="s">
        <v>11</v>
      </c>
      <c r="D1204" t="s">
        <v>31</v>
      </c>
      <c r="E1204">
        <v>9</v>
      </c>
      <c r="F1204">
        <v>80</v>
      </c>
      <c r="G1204">
        <v>720</v>
      </c>
      <c r="H1204">
        <v>0.02</v>
      </c>
      <c r="I1204">
        <v>14.4</v>
      </c>
      <c r="J1204" t="s">
        <v>20</v>
      </c>
    </row>
    <row r="1205" spans="1:10" x14ac:dyDescent="0.25">
      <c r="A1205" t="s">
        <v>1235</v>
      </c>
      <c r="B1205" s="1">
        <v>43305</v>
      </c>
      <c r="C1205" t="s">
        <v>30</v>
      </c>
      <c r="D1205" t="s">
        <v>27</v>
      </c>
      <c r="E1205">
        <v>22</v>
      </c>
      <c r="F1205">
        <v>16</v>
      </c>
      <c r="G1205">
        <v>352</v>
      </c>
      <c r="H1205">
        <v>0.03</v>
      </c>
      <c r="I1205">
        <v>10.559999999999999</v>
      </c>
      <c r="J1205" t="s">
        <v>22</v>
      </c>
    </row>
    <row r="1206" spans="1:10" x14ac:dyDescent="0.25">
      <c r="A1206" t="s">
        <v>1236</v>
      </c>
      <c r="B1206" s="1">
        <v>43305</v>
      </c>
      <c r="C1206" t="s">
        <v>11</v>
      </c>
      <c r="D1206" t="s">
        <v>16</v>
      </c>
      <c r="E1206">
        <v>15</v>
      </c>
      <c r="F1206">
        <v>80</v>
      </c>
      <c r="G1206">
        <v>1200</v>
      </c>
      <c r="H1206">
        <v>0.12</v>
      </c>
      <c r="I1206">
        <v>144</v>
      </c>
      <c r="J1206" t="s">
        <v>25</v>
      </c>
    </row>
    <row r="1207" spans="1:10" x14ac:dyDescent="0.25">
      <c r="A1207" t="s">
        <v>1237</v>
      </c>
      <c r="B1207" s="1">
        <v>43305</v>
      </c>
      <c r="C1207" t="s">
        <v>34</v>
      </c>
      <c r="D1207" t="s">
        <v>12</v>
      </c>
      <c r="E1207">
        <v>11</v>
      </c>
      <c r="F1207">
        <v>150</v>
      </c>
      <c r="G1207">
        <v>1650</v>
      </c>
      <c r="H1207">
        <v>0.05</v>
      </c>
      <c r="I1207">
        <v>82.5</v>
      </c>
      <c r="J1207" t="s">
        <v>28</v>
      </c>
    </row>
    <row r="1208" spans="1:10" x14ac:dyDescent="0.25">
      <c r="A1208" t="s">
        <v>1238</v>
      </c>
      <c r="B1208" s="1">
        <v>43305</v>
      </c>
      <c r="C1208" t="s">
        <v>19</v>
      </c>
      <c r="D1208" t="s">
        <v>27</v>
      </c>
      <c r="E1208">
        <v>11</v>
      </c>
      <c r="F1208">
        <v>230</v>
      </c>
      <c r="G1208">
        <v>2530</v>
      </c>
      <c r="H1208">
        <v>0.12</v>
      </c>
      <c r="I1208">
        <v>303.59999999999997</v>
      </c>
      <c r="J1208" t="s">
        <v>32</v>
      </c>
    </row>
    <row r="1209" spans="1:10" x14ac:dyDescent="0.25">
      <c r="A1209" t="s">
        <v>1239</v>
      </c>
      <c r="B1209" s="1">
        <v>43305</v>
      </c>
      <c r="C1209" t="s">
        <v>34</v>
      </c>
      <c r="D1209" t="s">
        <v>12</v>
      </c>
      <c r="E1209">
        <v>20</v>
      </c>
      <c r="F1209">
        <v>150</v>
      </c>
      <c r="G1209">
        <v>3000</v>
      </c>
      <c r="H1209">
        <v>0.01</v>
      </c>
      <c r="I1209">
        <v>30</v>
      </c>
      <c r="J1209" t="s">
        <v>35</v>
      </c>
    </row>
    <row r="1210" spans="1:10" x14ac:dyDescent="0.25">
      <c r="A1210" t="s">
        <v>1240</v>
      </c>
      <c r="B1210" s="1">
        <v>43305</v>
      </c>
      <c r="C1210" t="s">
        <v>15</v>
      </c>
      <c r="D1210" t="s">
        <v>24</v>
      </c>
      <c r="E1210">
        <v>11</v>
      </c>
      <c r="F1210">
        <v>40</v>
      </c>
      <c r="G1210">
        <v>440</v>
      </c>
      <c r="H1210">
        <v>0.12</v>
      </c>
      <c r="I1210">
        <v>52.8</v>
      </c>
      <c r="J1210" t="s">
        <v>37</v>
      </c>
    </row>
    <row r="1211" spans="1:10" x14ac:dyDescent="0.25">
      <c r="A1211" t="s">
        <v>1241</v>
      </c>
      <c r="B1211" s="1">
        <v>43306</v>
      </c>
      <c r="C1211" t="s">
        <v>19</v>
      </c>
      <c r="D1211" t="s">
        <v>24</v>
      </c>
      <c r="E1211">
        <v>12</v>
      </c>
      <c r="F1211">
        <v>230</v>
      </c>
      <c r="G1211">
        <v>2760</v>
      </c>
      <c r="H1211">
        <v>0.06</v>
      </c>
      <c r="I1211">
        <v>165.6</v>
      </c>
      <c r="J1211" t="s">
        <v>39</v>
      </c>
    </row>
    <row r="1212" spans="1:10" x14ac:dyDescent="0.25">
      <c r="A1212" t="s">
        <v>1242</v>
      </c>
      <c r="B1212" s="1">
        <v>43306</v>
      </c>
      <c r="C1212" t="s">
        <v>15</v>
      </c>
      <c r="D1212" t="s">
        <v>12</v>
      </c>
      <c r="E1212">
        <v>15</v>
      </c>
      <c r="F1212">
        <v>40</v>
      </c>
      <c r="G1212">
        <v>600</v>
      </c>
      <c r="H1212">
        <v>0.06</v>
      </c>
      <c r="I1212">
        <v>36</v>
      </c>
      <c r="J1212" t="s">
        <v>41</v>
      </c>
    </row>
    <row r="1213" spans="1:10" x14ac:dyDescent="0.25">
      <c r="A1213" t="s">
        <v>1243</v>
      </c>
      <c r="B1213" s="1">
        <v>43306</v>
      </c>
      <c r="C1213" t="s">
        <v>15</v>
      </c>
      <c r="D1213" t="s">
        <v>27</v>
      </c>
      <c r="E1213">
        <v>13</v>
      </c>
      <c r="F1213">
        <v>40</v>
      </c>
      <c r="G1213">
        <v>520</v>
      </c>
      <c r="H1213">
        <v>0.09</v>
      </c>
      <c r="I1213">
        <v>46.8</v>
      </c>
      <c r="J1213" t="s">
        <v>43</v>
      </c>
    </row>
    <row r="1214" spans="1:10" x14ac:dyDescent="0.25">
      <c r="A1214" t="s">
        <v>1244</v>
      </c>
      <c r="B1214" s="1">
        <v>43306</v>
      </c>
      <c r="C1214" t="s">
        <v>15</v>
      </c>
      <c r="D1214" t="s">
        <v>31</v>
      </c>
      <c r="E1214">
        <v>4</v>
      </c>
      <c r="F1214">
        <v>40</v>
      </c>
      <c r="G1214">
        <v>160</v>
      </c>
      <c r="H1214">
        <v>0.09</v>
      </c>
      <c r="I1214">
        <v>14.399999999999999</v>
      </c>
      <c r="J1214" t="s">
        <v>13</v>
      </c>
    </row>
    <row r="1215" spans="1:10" x14ac:dyDescent="0.25">
      <c r="A1215" t="s">
        <v>1245</v>
      </c>
      <c r="B1215" s="1">
        <v>43306</v>
      </c>
      <c r="C1215" t="s">
        <v>19</v>
      </c>
      <c r="D1215" t="s">
        <v>27</v>
      </c>
      <c r="E1215">
        <v>18</v>
      </c>
      <c r="F1215">
        <v>230</v>
      </c>
      <c r="G1215">
        <v>4140</v>
      </c>
      <c r="H1215">
        <v>0.01</v>
      </c>
      <c r="I1215">
        <v>41.4</v>
      </c>
      <c r="J1215" t="s">
        <v>17</v>
      </c>
    </row>
    <row r="1216" spans="1:10" x14ac:dyDescent="0.25">
      <c r="A1216" t="s">
        <v>1246</v>
      </c>
      <c r="B1216" s="1">
        <v>43306</v>
      </c>
      <c r="C1216" t="s">
        <v>30</v>
      </c>
      <c r="D1216" t="s">
        <v>12</v>
      </c>
      <c r="E1216">
        <v>7</v>
      </c>
      <c r="F1216">
        <v>16</v>
      </c>
      <c r="G1216">
        <v>112</v>
      </c>
      <c r="H1216">
        <v>0.02</v>
      </c>
      <c r="I1216">
        <v>2.2400000000000002</v>
      </c>
      <c r="J1216" t="s">
        <v>20</v>
      </c>
    </row>
    <row r="1217" spans="1:10" x14ac:dyDescent="0.25">
      <c r="A1217" t="s">
        <v>1247</v>
      </c>
      <c r="B1217" s="1">
        <v>43306</v>
      </c>
      <c r="C1217" t="s">
        <v>30</v>
      </c>
      <c r="D1217" t="s">
        <v>24</v>
      </c>
      <c r="E1217">
        <v>6</v>
      </c>
      <c r="F1217">
        <v>16</v>
      </c>
      <c r="G1217">
        <v>96</v>
      </c>
      <c r="H1217">
        <v>7.0000000000000007E-2</v>
      </c>
      <c r="I1217">
        <v>6.7200000000000006</v>
      </c>
      <c r="J1217" t="s">
        <v>22</v>
      </c>
    </row>
    <row r="1218" spans="1:10" x14ac:dyDescent="0.25">
      <c r="A1218" t="s">
        <v>1248</v>
      </c>
      <c r="B1218" s="1">
        <v>43306</v>
      </c>
      <c r="C1218" t="s">
        <v>19</v>
      </c>
      <c r="D1218" t="s">
        <v>27</v>
      </c>
      <c r="E1218">
        <v>8</v>
      </c>
      <c r="F1218">
        <v>230</v>
      </c>
      <c r="G1218">
        <v>1840</v>
      </c>
      <c r="H1218">
        <v>0.05</v>
      </c>
      <c r="I1218">
        <v>92</v>
      </c>
      <c r="J1218" t="s">
        <v>25</v>
      </c>
    </row>
    <row r="1219" spans="1:10" x14ac:dyDescent="0.25">
      <c r="A1219" t="s">
        <v>1249</v>
      </c>
      <c r="B1219" s="1">
        <v>43306</v>
      </c>
      <c r="C1219" t="s">
        <v>30</v>
      </c>
      <c r="D1219" t="s">
        <v>24</v>
      </c>
      <c r="E1219">
        <v>12</v>
      </c>
      <c r="F1219">
        <v>16</v>
      </c>
      <c r="G1219">
        <v>192</v>
      </c>
      <c r="H1219">
        <v>0.11</v>
      </c>
      <c r="I1219">
        <v>21.12</v>
      </c>
      <c r="J1219" t="s">
        <v>28</v>
      </c>
    </row>
    <row r="1220" spans="1:10" x14ac:dyDescent="0.25">
      <c r="A1220" t="s">
        <v>1250</v>
      </c>
      <c r="B1220" s="1">
        <v>43306</v>
      </c>
      <c r="C1220" t="s">
        <v>19</v>
      </c>
      <c r="D1220" t="s">
        <v>12</v>
      </c>
      <c r="E1220">
        <v>11</v>
      </c>
      <c r="F1220">
        <v>230</v>
      </c>
      <c r="G1220">
        <v>2530</v>
      </c>
      <c r="H1220">
        <v>0.02</v>
      </c>
      <c r="I1220">
        <v>50.6</v>
      </c>
      <c r="J1220" t="s">
        <v>17</v>
      </c>
    </row>
    <row r="1221" spans="1:10" x14ac:dyDescent="0.25">
      <c r="A1221" t="s">
        <v>1251</v>
      </c>
      <c r="B1221" s="1">
        <v>43306</v>
      </c>
      <c r="C1221" t="s">
        <v>30</v>
      </c>
      <c r="D1221" t="s">
        <v>24</v>
      </c>
      <c r="E1221">
        <v>3</v>
      </c>
      <c r="F1221">
        <v>16</v>
      </c>
      <c r="G1221">
        <v>48</v>
      </c>
      <c r="H1221">
        <v>0.05</v>
      </c>
      <c r="I1221">
        <v>2.4000000000000004</v>
      </c>
      <c r="J1221" t="s">
        <v>20</v>
      </c>
    </row>
    <row r="1222" spans="1:10" x14ac:dyDescent="0.25">
      <c r="A1222" t="s">
        <v>1252</v>
      </c>
      <c r="B1222" s="1">
        <v>43307</v>
      </c>
      <c r="C1222" t="s">
        <v>34</v>
      </c>
      <c r="D1222" t="s">
        <v>16</v>
      </c>
      <c r="E1222">
        <v>16</v>
      </c>
      <c r="F1222">
        <v>150</v>
      </c>
      <c r="G1222">
        <v>2400</v>
      </c>
      <c r="H1222">
        <v>0.05</v>
      </c>
      <c r="I1222">
        <v>120</v>
      </c>
      <c r="J1222" t="s">
        <v>22</v>
      </c>
    </row>
    <row r="1223" spans="1:10" x14ac:dyDescent="0.25">
      <c r="A1223" t="s">
        <v>1253</v>
      </c>
      <c r="B1223" s="1">
        <v>43307</v>
      </c>
      <c r="C1223" t="s">
        <v>19</v>
      </c>
      <c r="D1223" t="s">
        <v>27</v>
      </c>
      <c r="E1223">
        <v>8</v>
      </c>
      <c r="F1223">
        <v>230</v>
      </c>
      <c r="G1223">
        <v>1840</v>
      </c>
      <c r="H1223">
        <v>0.01</v>
      </c>
      <c r="I1223">
        <v>18.400000000000002</v>
      </c>
      <c r="J1223" t="s">
        <v>25</v>
      </c>
    </row>
    <row r="1224" spans="1:10" x14ac:dyDescent="0.25">
      <c r="A1224" t="s">
        <v>1254</v>
      </c>
      <c r="B1224" s="1">
        <v>43307</v>
      </c>
      <c r="C1224" t="s">
        <v>11</v>
      </c>
      <c r="D1224" t="s">
        <v>24</v>
      </c>
      <c r="E1224">
        <v>16</v>
      </c>
      <c r="F1224">
        <v>80</v>
      </c>
      <c r="G1224">
        <v>1280</v>
      </c>
      <c r="H1224">
        <v>0.04</v>
      </c>
      <c r="I1224">
        <v>51.2</v>
      </c>
      <c r="J1224" t="s">
        <v>28</v>
      </c>
    </row>
    <row r="1225" spans="1:10" x14ac:dyDescent="0.25">
      <c r="A1225" t="s">
        <v>1255</v>
      </c>
      <c r="B1225" s="1">
        <v>43307</v>
      </c>
      <c r="C1225" t="s">
        <v>30</v>
      </c>
      <c r="D1225" t="s">
        <v>27</v>
      </c>
      <c r="E1225">
        <v>18</v>
      </c>
      <c r="F1225">
        <v>16</v>
      </c>
      <c r="G1225">
        <v>288</v>
      </c>
      <c r="H1225">
        <v>0.04</v>
      </c>
      <c r="I1225">
        <v>11.52</v>
      </c>
      <c r="J1225" t="s">
        <v>32</v>
      </c>
    </row>
    <row r="1226" spans="1:10" x14ac:dyDescent="0.25">
      <c r="A1226" t="s">
        <v>1256</v>
      </c>
      <c r="B1226" s="1">
        <v>43307</v>
      </c>
      <c r="C1226" t="s">
        <v>15</v>
      </c>
      <c r="D1226" t="s">
        <v>31</v>
      </c>
      <c r="E1226">
        <v>14</v>
      </c>
      <c r="F1226">
        <v>40</v>
      </c>
      <c r="G1226">
        <v>560</v>
      </c>
      <c r="H1226">
        <v>0.11</v>
      </c>
      <c r="I1226">
        <v>61.6</v>
      </c>
      <c r="J1226" t="s">
        <v>35</v>
      </c>
    </row>
    <row r="1227" spans="1:10" x14ac:dyDescent="0.25">
      <c r="A1227" t="s">
        <v>1257</v>
      </c>
      <c r="B1227" s="1">
        <v>43307</v>
      </c>
      <c r="C1227" t="s">
        <v>30</v>
      </c>
      <c r="D1227" t="s">
        <v>16</v>
      </c>
      <c r="E1227">
        <v>21</v>
      </c>
      <c r="F1227">
        <v>16</v>
      </c>
      <c r="G1227">
        <v>336</v>
      </c>
      <c r="H1227">
        <v>0.02</v>
      </c>
      <c r="I1227">
        <v>6.72</v>
      </c>
      <c r="J1227" t="s">
        <v>37</v>
      </c>
    </row>
    <row r="1228" spans="1:10" x14ac:dyDescent="0.25">
      <c r="A1228" t="s">
        <v>1258</v>
      </c>
      <c r="B1228" s="1">
        <v>43307</v>
      </c>
      <c r="C1228" t="s">
        <v>30</v>
      </c>
      <c r="D1228" t="s">
        <v>16</v>
      </c>
      <c r="E1228">
        <v>7</v>
      </c>
      <c r="F1228">
        <v>16</v>
      </c>
      <c r="G1228">
        <v>112</v>
      </c>
      <c r="H1228">
        <v>0.08</v>
      </c>
      <c r="I1228">
        <v>8.9600000000000009</v>
      </c>
      <c r="J1228" t="s">
        <v>39</v>
      </c>
    </row>
    <row r="1229" spans="1:10" x14ac:dyDescent="0.25">
      <c r="A1229" t="s">
        <v>1259</v>
      </c>
      <c r="B1229" s="1">
        <v>43307</v>
      </c>
      <c r="C1229" t="s">
        <v>11</v>
      </c>
      <c r="D1229" t="s">
        <v>24</v>
      </c>
      <c r="E1229">
        <v>7</v>
      </c>
      <c r="F1229">
        <v>80</v>
      </c>
      <c r="G1229">
        <v>560</v>
      </c>
      <c r="H1229">
        <v>0.05</v>
      </c>
      <c r="I1229">
        <v>28</v>
      </c>
      <c r="J1229" t="s">
        <v>41</v>
      </c>
    </row>
    <row r="1230" spans="1:10" x14ac:dyDescent="0.25">
      <c r="A1230" t="s">
        <v>1260</v>
      </c>
      <c r="B1230" s="1">
        <v>43307</v>
      </c>
      <c r="C1230" t="s">
        <v>15</v>
      </c>
      <c r="D1230" t="s">
        <v>31</v>
      </c>
      <c r="E1230">
        <v>16</v>
      </c>
      <c r="F1230">
        <v>40</v>
      </c>
      <c r="G1230">
        <v>640</v>
      </c>
      <c r="H1230">
        <v>0.09</v>
      </c>
      <c r="I1230">
        <v>57.599999999999994</v>
      </c>
      <c r="J1230" t="s">
        <v>43</v>
      </c>
    </row>
    <row r="1231" spans="1:10" x14ac:dyDescent="0.25">
      <c r="A1231" t="s">
        <v>1261</v>
      </c>
      <c r="B1231" s="1">
        <v>43307</v>
      </c>
      <c r="C1231" t="s">
        <v>19</v>
      </c>
      <c r="D1231" t="s">
        <v>31</v>
      </c>
      <c r="E1231">
        <v>22</v>
      </c>
      <c r="F1231">
        <v>230</v>
      </c>
      <c r="G1231">
        <v>5060</v>
      </c>
      <c r="H1231">
        <v>0.1</v>
      </c>
      <c r="I1231">
        <v>506</v>
      </c>
      <c r="J1231" t="s">
        <v>13</v>
      </c>
    </row>
    <row r="1232" spans="1:10" x14ac:dyDescent="0.25">
      <c r="A1232" t="s">
        <v>1262</v>
      </c>
      <c r="B1232" s="1">
        <v>43307</v>
      </c>
      <c r="C1232" t="s">
        <v>15</v>
      </c>
      <c r="D1232" t="s">
        <v>16</v>
      </c>
      <c r="E1232">
        <v>4</v>
      </c>
      <c r="F1232">
        <v>40</v>
      </c>
      <c r="G1232">
        <v>160</v>
      </c>
      <c r="H1232">
        <v>0.03</v>
      </c>
      <c r="I1232">
        <v>4.8</v>
      </c>
      <c r="J1232" t="s">
        <v>17</v>
      </c>
    </row>
    <row r="1233" spans="1:10" x14ac:dyDescent="0.25">
      <c r="A1233" t="s">
        <v>1263</v>
      </c>
      <c r="B1233" s="1">
        <v>43307</v>
      </c>
      <c r="C1233" t="s">
        <v>19</v>
      </c>
      <c r="D1233" t="s">
        <v>31</v>
      </c>
      <c r="E1233">
        <v>3</v>
      </c>
      <c r="F1233">
        <v>230</v>
      </c>
      <c r="G1233">
        <v>690</v>
      </c>
      <c r="H1233">
        <v>0.1</v>
      </c>
      <c r="I1233">
        <v>69</v>
      </c>
      <c r="J1233" t="s">
        <v>20</v>
      </c>
    </row>
    <row r="1234" spans="1:10" x14ac:dyDescent="0.25">
      <c r="A1234" t="s">
        <v>1264</v>
      </c>
      <c r="B1234" s="1">
        <v>43307</v>
      </c>
      <c r="C1234" t="s">
        <v>11</v>
      </c>
      <c r="D1234" t="s">
        <v>16</v>
      </c>
      <c r="E1234">
        <v>14</v>
      </c>
      <c r="F1234">
        <v>80</v>
      </c>
      <c r="G1234">
        <v>1120</v>
      </c>
      <c r="H1234">
        <v>0.11</v>
      </c>
      <c r="I1234">
        <v>123.2</v>
      </c>
      <c r="J1234" t="s">
        <v>22</v>
      </c>
    </row>
    <row r="1235" spans="1:10" x14ac:dyDescent="0.25">
      <c r="A1235" t="s">
        <v>1265</v>
      </c>
      <c r="B1235" s="1">
        <v>43308</v>
      </c>
      <c r="C1235" t="s">
        <v>15</v>
      </c>
      <c r="D1235" t="s">
        <v>31</v>
      </c>
      <c r="E1235">
        <v>21</v>
      </c>
      <c r="F1235">
        <v>40</v>
      </c>
      <c r="G1235">
        <v>840</v>
      </c>
      <c r="H1235">
        <v>0.01</v>
      </c>
      <c r="I1235">
        <v>8.4</v>
      </c>
      <c r="J1235" t="s">
        <v>25</v>
      </c>
    </row>
    <row r="1236" spans="1:10" x14ac:dyDescent="0.25">
      <c r="A1236" t="s">
        <v>1266</v>
      </c>
      <c r="B1236" s="1">
        <v>43308</v>
      </c>
      <c r="C1236" t="s">
        <v>30</v>
      </c>
      <c r="D1236" t="s">
        <v>16</v>
      </c>
      <c r="E1236">
        <v>20</v>
      </c>
      <c r="F1236">
        <v>16</v>
      </c>
      <c r="G1236">
        <v>320</v>
      </c>
      <c r="H1236">
        <v>0.06</v>
      </c>
      <c r="I1236">
        <v>19.2</v>
      </c>
      <c r="J1236" t="s">
        <v>28</v>
      </c>
    </row>
    <row r="1237" spans="1:10" x14ac:dyDescent="0.25">
      <c r="A1237" t="s">
        <v>1267</v>
      </c>
      <c r="B1237" s="1">
        <v>43308</v>
      </c>
      <c r="C1237" t="s">
        <v>11</v>
      </c>
      <c r="D1237" t="s">
        <v>31</v>
      </c>
      <c r="E1237">
        <v>22</v>
      </c>
      <c r="F1237">
        <v>80</v>
      </c>
      <c r="G1237">
        <v>1760</v>
      </c>
      <c r="H1237">
        <v>0.11</v>
      </c>
      <c r="I1237">
        <v>193.6</v>
      </c>
      <c r="J1237" t="s">
        <v>17</v>
      </c>
    </row>
    <row r="1238" spans="1:10" x14ac:dyDescent="0.25">
      <c r="A1238" t="s">
        <v>1268</v>
      </c>
      <c r="B1238" s="1">
        <v>43308</v>
      </c>
      <c r="C1238" t="s">
        <v>15</v>
      </c>
      <c r="D1238" t="s">
        <v>12</v>
      </c>
      <c r="E1238">
        <v>7</v>
      </c>
      <c r="F1238">
        <v>40</v>
      </c>
      <c r="G1238">
        <v>280</v>
      </c>
      <c r="H1238">
        <v>0.1</v>
      </c>
      <c r="I1238">
        <v>28</v>
      </c>
      <c r="J1238" t="s">
        <v>20</v>
      </c>
    </row>
    <row r="1239" spans="1:10" x14ac:dyDescent="0.25">
      <c r="A1239" t="s">
        <v>1269</v>
      </c>
      <c r="B1239" s="1">
        <v>43308</v>
      </c>
      <c r="C1239" t="s">
        <v>34</v>
      </c>
      <c r="D1239" t="s">
        <v>16</v>
      </c>
      <c r="E1239">
        <v>16</v>
      </c>
      <c r="F1239">
        <v>150</v>
      </c>
      <c r="G1239">
        <v>2400</v>
      </c>
      <c r="H1239">
        <v>0.05</v>
      </c>
      <c r="I1239">
        <v>120</v>
      </c>
      <c r="J1239" t="s">
        <v>22</v>
      </c>
    </row>
    <row r="1240" spans="1:10" x14ac:dyDescent="0.25">
      <c r="A1240" t="s">
        <v>1270</v>
      </c>
      <c r="B1240" s="1">
        <v>43308</v>
      </c>
      <c r="C1240" t="s">
        <v>19</v>
      </c>
      <c r="D1240" t="s">
        <v>16</v>
      </c>
      <c r="E1240">
        <v>7</v>
      </c>
      <c r="F1240">
        <v>230</v>
      </c>
      <c r="G1240">
        <v>1610</v>
      </c>
      <c r="H1240">
        <v>0.05</v>
      </c>
      <c r="I1240">
        <v>80.5</v>
      </c>
      <c r="J1240" t="s">
        <v>25</v>
      </c>
    </row>
    <row r="1241" spans="1:10" x14ac:dyDescent="0.25">
      <c r="A1241" t="s">
        <v>1271</v>
      </c>
      <c r="B1241" s="1">
        <v>43308</v>
      </c>
      <c r="C1241" t="s">
        <v>34</v>
      </c>
      <c r="D1241" t="s">
        <v>12</v>
      </c>
      <c r="E1241">
        <v>20</v>
      </c>
      <c r="F1241">
        <v>150</v>
      </c>
      <c r="G1241">
        <v>3000</v>
      </c>
      <c r="H1241">
        <v>0.03</v>
      </c>
      <c r="I1241">
        <v>90</v>
      </c>
      <c r="J1241" t="s">
        <v>28</v>
      </c>
    </row>
    <row r="1242" spans="1:10" x14ac:dyDescent="0.25">
      <c r="A1242" t="s">
        <v>1272</v>
      </c>
      <c r="B1242" s="1">
        <v>43308</v>
      </c>
      <c r="C1242" t="s">
        <v>34</v>
      </c>
      <c r="D1242" t="s">
        <v>16</v>
      </c>
      <c r="E1242">
        <v>16</v>
      </c>
      <c r="F1242">
        <v>150</v>
      </c>
      <c r="G1242">
        <v>2400</v>
      </c>
      <c r="H1242">
        <v>0.03</v>
      </c>
      <c r="I1242">
        <v>72</v>
      </c>
      <c r="J1242" t="s">
        <v>32</v>
      </c>
    </row>
    <row r="1243" spans="1:10" x14ac:dyDescent="0.25">
      <c r="A1243" t="s">
        <v>1273</v>
      </c>
      <c r="B1243" s="1">
        <v>43308</v>
      </c>
      <c r="C1243" t="s">
        <v>30</v>
      </c>
      <c r="D1243" t="s">
        <v>27</v>
      </c>
      <c r="E1243">
        <v>10</v>
      </c>
      <c r="F1243">
        <v>16</v>
      </c>
      <c r="G1243">
        <v>160</v>
      </c>
      <c r="H1243">
        <v>0.04</v>
      </c>
      <c r="I1243">
        <v>6.4</v>
      </c>
      <c r="J1243" t="s">
        <v>35</v>
      </c>
    </row>
    <row r="1244" spans="1:10" x14ac:dyDescent="0.25">
      <c r="A1244" t="s">
        <v>1274</v>
      </c>
      <c r="B1244" s="1">
        <v>43308</v>
      </c>
      <c r="C1244" t="s">
        <v>11</v>
      </c>
      <c r="D1244" t="s">
        <v>31</v>
      </c>
      <c r="E1244">
        <v>6</v>
      </c>
      <c r="F1244">
        <v>80</v>
      </c>
      <c r="G1244">
        <v>480</v>
      </c>
      <c r="H1244">
        <v>0.09</v>
      </c>
      <c r="I1244">
        <v>43.199999999999996</v>
      </c>
      <c r="J1244" t="s">
        <v>37</v>
      </c>
    </row>
    <row r="1245" spans="1:10" x14ac:dyDescent="0.25">
      <c r="A1245" t="s">
        <v>1275</v>
      </c>
      <c r="B1245" s="1">
        <v>43308</v>
      </c>
      <c r="C1245" t="s">
        <v>11</v>
      </c>
      <c r="D1245" t="s">
        <v>12</v>
      </c>
      <c r="E1245">
        <v>17</v>
      </c>
      <c r="F1245">
        <v>80</v>
      </c>
      <c r="G1245">
        <v>1360</v>
      </c>
      <c r="H1245">
        <v>0.09</v>
      </c>
      <c r="I1245">
        <v>122.39999999999999</v>
      </c>
      <c r="J1245" t="s">
        <v>39</v>
      </c>
    </row>
    <row r="1246" spans="1:10" x14ac:dyDescent="0.25">
      <c r="A1246" t="s">
        <v>1276</v>
      </c>
      <c r="B1246" s="1">
        <v>43308</v>
      </c>
      <c r="C1246" t="s">
        <v>15</v>
      </c>
      <c r="D1246" t="s">
        <v>12</v>
      </c>
      <c r="E1246">
        <v>19</v>
      </c>
      <c r="F1246">
        <v>40</v>
      </c>
      <c r="G1246">
        <v>760</v>
      </c>
      <c r="H1246">
        <v>0.04</v>
      </c>
      <c r="I1246">
        <v>30.400000000000002</v>
      </c>
      <c r="J1246" t="s">
        <v>41</v>
      </c>
    </row>
    <row r="1247" spans="1:10" x14ac:dyDescent="0.25">
      <c r="A1247" t="s">
        <v>1277</v>
      </c>
      <c r="B1247" s="1">
        <v>43308</v>
      </c>
      <c r="C1247" t="s">
        <v>15</v>
      </c>
      <c r="D1247" t="s">
        <v>31</v>
      </c>
      <c r="E1247">
        <v>16</v>
      </c>
      <c r="F1247">
        <v>40</v>
      </c>
      <c r="G1247">
        <v>640</v>
      </c>
      <c r="H1247">
        <v>0.09</v>
      </c>
      <c r="I1247">
        <v>57.599999999999994</v>
      </c>
      <c r="J1247" t="s">
        <v>43</v>
      </c>
    </row>
    <row r="1248" spans="1:10" x14ac:dyDescent="0.25">
      <c r="A1248" t="s">
        <v>1278</v>
      </c>
      <c r="B1248" s="1">
        <v>43308</v>
      </c>
      <c r="C1248" t="s">
        <v>30</v>
      </c>
      <c r="D1248" t="s">
        <v>12</v>
      </c>
      <c r="E1248">
        <v>4</v>
      </c>
      <c r="F1248">
        <v>16</v>
      </c>
      <c r="G1248">
        <v>64</v>
      </c>
      <c r="H1248">
        <v>0.12</v>
      </c>
      <c r="I1248">
        <v>7.68</v>
      </c>
      <c r="J1248" t="s">
        <v>13</v>
      </c>
    </row>
    <row r="1249" spans="1:10" x14ac:dyDescent="0.25">
      <c r="A1249" t="s">
        <v>1279</v>
      </c>
      <c r="B1249" s="1">
        <v>43308</v>
      </c>
      <c r="C1249" t="s">
        <v>34</v>
      </c>
      <c r="D1249" t="s">
        <v>27</v>
      </c>
      <c r="E1249">
        <v>9</v>
      </c>
      <c r="F1249">
        <v>150</v>
      </c>
      <c r="G1249">
        <v>1350</v>
      </c>
      <c r="H1249">
        <v>0.02</v>
      </c>
      <c r="I1249">
        <v>27</v>
      </c>
      <c r="J1249" t="s">
        <v>17</v>
      </c>
    </row>
    <row r="1250" spans="1:10" x14ac:dyDescent="0.25">
      <c r="A1250" t="s">
        <v>1280</v>
      </c>
      <c r="B1250" s="1">
        <v>43308</v>
      </c>
      <c r="C1250" t="s">
        <v>30</v>
      </c>
      <c r="D1250" t="s">
        <v>12</v>
      </c>
      <c r="E1250">
        <v>11</v>
      </c>
      <c r="F1250">
        <v>16</v>
      </c>
      <c r="G1250">
        <v>176</v>
      </c>
      <c r="H1250">
        <v>0.09</v>
      </c>
      <c r="I1250">
        <v>15.84</v>
      </c>
      <c r="J1250" t="s">
        <v>20</v>
      </c>
    </row>
    <row r="1251" spans="1:10" x14ac:dyDescent="0.25">
      <c r="A1251" t="s">
        <v>1281</v>
      </c>
      <c r="B1251" s="1">
        <v>43308</v>
      </c>
      <c r="C1251" t="s">
        <v>11</v>
      </c>
      <c r="D1251" t="s">
        <v>16</v>
      </c>
      <c r="E1251">
        <v>17</v>
      </c>
      <c r="F1251">
        <v>80</v>
      </c>
      <c r="G1251">
        <v>1360</v>
      </c>
      <c r="H1251">
        <v>0.03</v>
      </c>
      <c r="I1251">
        <v>40.799999999999997</v>
      </c>
      <c r="J1251" t="s">
        <v>22</v>
      </c>
    </row>
    <row r="1252" spans="1:10" x14ac:dyDescent="0.25">
      <c r="A1252" t="s">
        <v>1282</v>
      </c>
      <c r="B1252" s="1">
        <v>43309</v>
      </c>
      <c r="C1252" t="s">
        <v>34</v>
      </c>
      <c r="D1252" t="s">
        <v>12</v>
      </c>
      <c r="E1252">
        <v>3</v>
      </c>
      <c r="F1252">
        <v>150</v>
      </c>
      <c r="G1252">
        <v>450</v>
      </c>
      <c r="H1252">
        <v>0.03</v>
      </c>
      <c r="I1252">
        <v>13.5</v>
      </c>
      <c r="J1252" t="s">
        <v>25</v>
      </c>
    </row>
    <row r="1253" spans="1:10" x14ac:dyDescent="0.25">
      <c r="A1253" t="s">
        <v>1283</v>
      </c>
      <c r="B1253" s="1">
        <v>43309</v>
      </c>
      <c r="C1253" t="s">
        <v>19</v>
      </c>
      <c r="D1253" t="s">
        <v>27</v>
      </c>
      <c r="E1253">
        <v>2</v>
      </c>
      <c r="F1253">
        <v>230</v>
      </c>
      <c r="G1253">
        <v>460</v>
      </c>
      <c r="H1253">
        <v>0.08</v>
      </c>
      <c r="I1253">
        <v>36.800000000000004</v>
      </c>
      <c r="J1253" t="s">
        <v>28</v>
      </c>
    </row>
    <row r="1254" spans="1:10" x14ac:dyDescent="0.25">
      <c r="A1254" t="s">
        <v>1284</v>
      </c>
      <c r="B1254" s="1">
        <v>43309</v>
      </c>
      <c r="C1254" t="s">
        <v>19</v>
      </c>
      <c r="D1254" t="s">
        <v>27</v>
      </c>
      <c r="E1254">
        <v>17</v>
      </c>
      <c r="F1254">
        <v>230</v>
      </c>
      <c r="G1254">
        <v>3910</v>
      </c>
      <c r="H1254">
        <v>0.12</v>
      </c>
      <c r="I1254">
        <v>469.2</v>
      </c>
      <c r="J1254" t="s">
        <v>17</v>
      </c>
    </row>
    <row r="1255" spans="1:10" x14ac:dyDescent="0.25">
      <c r="A1255" t="s">
        <v>1285</v>
      </c>
      <c r="B1255" s="1">
        <v>43309</v>
      </c>
      <c r="C1255" t="s">
        <v>34</v>
      </c>
      <c r="D1255" t="s">
        <v>16</v>
      </c>
      <c r="E1255">
        <v>2</v>
      </c>
      <c r="F1255">
        <v>150</v>
      </c>
      <c r="G1255">
        <v>300</v>
      </c>
      <c r="H1255">
        <v>0.09</v>
      </c>
      <c r="I1255">
        <v>27</v>
      </c>
      <c r="J1255" t="s">
        <v>20</v>
      </c>
    </row>
    <row r="1256" spans="1:10" x14ac:dyDescent="0.25">
      <c r="A1256" t="s">
        <v>1286</v>
      </c>
      <c r="B1256" s="1">
        <v>43309</v>
      </c>
      <c r="C1256" t="s">
        <v>15</v>
      </c>
      <c r="D1256" t="s">
        <v>27</v>
      </c>
      <c r="E1256">
        <v>18</v>
      </c>
      <c r="F1256">
        <v>40</v>
      </c>
      <c r="G1256">
        <v>720</v>
      </c>
      <c r="H1256">
        <v>0.06</v>
      </c>
      <c r="I1256">
        <v>43.199999999999996</v>
      </c>
      <c r="J1256" t="s">
        <v>22</v>
      </c>
    </row>
    <row r="1257" spans="1:10" x14ac:dyDescent="0.25">
      <c r="A1257" t="s">
        <v>1287</v>
      </c>
      <c r="B1257" s="1">
        <v>43309</v>
      </c>
      <c r="C1257" t="s">
        <v>34</v>
      </c>
      <c r="D1257" t="s">
        <v>24</v>
      </c>
      <c r="E1257">
        <v>18</v>
      </c>
      <c r="F1257">
        <v>150</v>
      </c>
      <c r="G1257">
        <v>2700</v>
      </c>
      <c r="H1257">
        <v>0.06</v>
      </c>
      <c r="I1257">
        <v>162</v>
      </c>
      <c r="J1257" t="s">
        <v>25</v>
      </c>
    </row>
    <row r="1258" spans="1:10" x14ac:dyDescent="0.25">
      <c r="A1258" t="s">
        <v>1288</v>
      </c>
      <c r="B1258" s="1">
        <v>43309</v>
      </c>
      <c r="C1258" t="s">
        <v>15</v>
      </c>
      <c r="D1258" t="s">
        <v>16</v>
      </c>
      <c r="E1258">
        <v>12</v>
      </c>
      <c r="F1258">
        <v>40</v>
      </c>
      <c r="G1258">
        <v>480</v>
      </c>
      <c r="H1258">
        <v>0.1</v>
      </c>
      <c r="I1258">
        <v>48</v>
      </c>
      <c r="J1258" t="s">
        <v>28</v>
      </c>
    </row>
    <row r="1259" spans="1:10" x14ac:dyDescent="0.25">
      <c r="A1259" t="s">
        <v>1289</v>
      </c>
      <c r="B1259" s="1">
        <v>43309</v>
      </c>
      <c r="C1259" t="s">
        <v>11</v>
      </c>
      <c r="D1259" t="s">
        <v>12</v>
      </c>
      <c r="E1259">
        <v>21</v>
      </c>
      <c r="F1259">
        <v>80</v>
      </c>
      <c r="G1259">
        <v>1680</v>
      </c>
      <c r="H1259">
        <v>0.04</v>
      </c>
      <c r="I1259">
        <v>67.2</v>
      </c>
      <c r="J1259" t="s">
        <v>32</v>
      </c>
    </row>
    <row r="1260" spans="1:10" x14ac:dyDescent="0.25">
      <c r="A1260" t="s">
        <v>1290</v>
      </c>
      <c r="B1260" s="1">
        <v>43309</v>
      </c>
      <c r="C1260" t="s">
        <v>15</v>
      </c>
      <c r="D1260" t="s">
        <v>31</v>
      </c>
      <c r="E1260">
        <v>3</v>
      </c>
      <c r="F1260">
        <v>40</v>
      </c>
      <c r="G1260">
        <v>120</v>
      </c>
      <c r="H1260">
        <v>0.03</v>
      </c>
      <c r="I1260">
        <v>3.5999999999999996</v>
      </c>
      <c r="J1260" t="s">
        <v>35</v>
      </c>
    </row>
    <row r="1261" spans="1:10" x14ac:dyDescent="0.25">
      <c r="A1261" t="s">
        <v>1291</v>
      </c>
      <c r="B1261" s="1">
        <v>43309</v>
      </c>
      <c r="C1261" t="s">
        <v>11</v>
      </c>
      <c r="D1261" t="s">
        <v>31</v>
      </c>
      <c r="E1261">
        <v>22</v>
      </c>
      <c r="F1261">
        <v>80</v>
      </c>
      <c r="G1261">
        <v>1760</v>
      </c>
      <c r="H1261">
        <v>0.1</v>
      </c>
      <c r="I1261">
        <v>176</v>
      </c>
      <c r="J1261" t="s">
        <v>37</v>
      </c>
    </row>
    <row r="1262" spans="1:10" x14ac:dyDescent="0.25">
      <c r="A1262" t="s">
        <v>1292</v>
      </c>
      <c r="B1262" s="1">
        <v>43309</v>
      </c>
      <c r="C1262" t="s">
        <v>15</v>
      </c>
      <c r="D1262" t="s">
        <v>31</v>
      </c>
      <c r="E1262">
        <v>16</v>
      </c>
      <c r="F1262">
        <v>40</v>
      </c>
      <c r="G1262">
        <v>640</v>
      </c>
      <c r="H1262">
        <v>0.11</v>
      </c>
      <c r="I1262">
        <v>70.400000000000006</v>
      </c>
      <c r="J1262" t="s">
        <v>39</v>
      </c>
    </row>
    <row r="1263" spans="1:10" x14ac:dyDescent="0.25">
      <c r="A1263" t="s">
        <v>1293</v>
      </c>
      <c r="B1263" s="1">
        <v>43309</v>
      </c>
      <c r="C1263" t="s">
        <v>30</v>
      </c>
      <c r="D1263" t="s">
        <v>12</v>
      </c>
      <c r="E1263">
        <v>11</v>
      </c>
      <c r="F1263">
        <v>16</v>
      </c>
      <c r="G1263">
        <v>176</v>
      </c>
      <c r="H1263">
        <v>0.09</v>
      </c>
      <c r="I1263">
        <v>15.84</v>
      </c>
      <c r="J1263" t="s">
        <v>41</v>
      </c>
    </row>
    <row r="1264" spans="1:10" x14ac:dyDescent="0.25">
      <c r="A1264" t="s">
        <v>1294</v>
      </c>
      <c r="B1264" s="1">
        <v>43310</v>
      </c>
      <c r="C1264" t="s">
        <v>11</v>
      </c>
      <c r="D1264" t="s">
        <v>24</v>
      </c>
      <c r="E1264">
        <v>10</v>
      </c>
      <c r="F1264">
        <v>80</v>
      </c>
      <c r="G1264">
        <v>800</v>
      </c>
      <c r="H1264">
        <v>0.08</v>
      </c>
      <c r="I1264">
        <v>64</v>
      </c>
      <c r="J1264" t="s">
        <v>43</v>
      </c>
    </row>
    <row r="1265" spans="1:10" x14ac:dyDescent="0.25">
      <c r="A1265" t="s">
        <v>1295</v>
      </c>
      <c r="B1265" s="1">
        <v>43310</v>
      </c>
      <c r="C1265" t="s">
        <v>30</v>
      </c>
      <c r="D1265" t="s">
        <v>24</v>
      </c>
      <c r="E1265">
        <v>12</v>
      </c>
      <c r="F1265">
        <v>16</v>
      </c>
      <c r="G1265">
        <v>192</v>
      </c>
      <c r="H1265">
        <v>0.03</v>
      </c>
      <c r="I1265">
        <v>5.76</v>
      </c>
      <c r="J1265" t="s">
        <v>13</v>
      </c>
    </row>
    <row r="1266" spans="1:10" x14ac:dyDescent="0.25">
      <c r="A1266" t="s">
        <v>1296</v>
      </c>
      <c r="B1266" s="1">
        <v>43310</v>
      </c>
      <c r="C1266" t="s">
        <v>34</v>
      </c>
      <c r="D1266" t="s">
        <v>12</v>
      </c>
      <c r="E1266">
        <v>8</v>
      </c>
      <c r="F1266">
        <v>150</v>
      </c>
      <c r="G1266">
        <v>1200</v>
      </c>
      <c r="H1266">
        <v>0.09</v>
      </c>
      <c r="I1266">
        <v>108</v>
      </c>
      <c r="J1266" t="s">
        <v>17</v>
      </c>
    </row>
    <row r="1267" spans="1:10" x14ac:dyDescent="0.25">
      <c r="A1267" t="s">
        <v>1297</v>
      </c>
      <c r="B1267" s="1">
        <v>43310</v>
      </c>
      <c r="C1267" t="s">
        <v>15</v>
      </c>
      <c r="D1267" t="s">
        <v>31</v>
      </c>
      <c r="E1267">
        <v>10</v>
      </c>
      <c r="F1267">
        <v>40</v>
      </c>
      <c r="G1267">
        <v>400</v>
      </c>
      <c r="H1267">
        <v>0.03</v>
      </c>
      <c r="I1267">
        <v>12</v>
      </c>
      <c r="J1267" t="s">
        <v>20</v>
      </c>
    </row>
    <row r="1268" spans="1:10" x14ac:dyDescent="0.25">
      <c r="A1268" t="s">
        <v>1298</v>
      </c>
      <c r="B1268" s="1">
        <v>43310</v>
      </c>
      <c r="C1268" t="s">
        <v>34</v>
      </c>
      <c r="D1268" t="s">
        <v>12</v>
      </c>
      <c r="E1268">
        <v>7</v>
      </c>
      <c r="F1268">
        <v>150</v>
      </c>
      <c r="G1268">
        <v>1050</v>
      </c>
      <c r="H1268">
        <v>0.02</v>
      </c>
      <c r="I1268">
        <v>21</v>
      </c>
      <c r="J1268" t="s">
        <v>22</v>
      </c>
    </row>
    <row r="1269" spans="1:10" x14ac:dyDescent="0.25">
      <c r="A1269" t="s">
        <v>1299</v>
      </c>
      <c r="B1269" s="1">
        <v>43310</v>
      </c>
      <c r="C1269" t="s">
        <v>30</v>
      </c>
      <c r="D1269" t="s">
        <v>24</v>
      </c>
      <c r="E1269">
        <v>6</v>
      </c>
      <c r="F1269">
        <v>16</v>
      </c>
      <c r="G1269">
        <v>96</v>
      </c>
      <c r="H1269">
        <v>0.01</v>
      </c>
      <c r="I1269">
        <v>0.96</v>
      </c>
      <c r="J1269" t="s">
        <v>25</v>
      </c>
    </row>
    <row r="1270" spans="1:10" x14ac:dyDescent="0.25">
      <c r="A1270" t="s">
        <v>1300</v>
      </c>
      <c r="B1270" s="1">
        <v>43310</v>
      </c>
      <c r="C1270" t="s">
        <v>11</v>
      </c>
      <c r="D1270" t="s">
        <v>27</v>
      </c>
      <c r="E1270">
        <v>15</v>
      </c>
      <c r="F1270">
        <v>80</v>
      </c>
      <c r="G1270">
        <v>1200</v>
      </c>
      <c r="H1270">
        <v>0.08</v>
      </c>
      <c r="I1270">
        <v>96</v>
      </c>
      <c r="J1270" t="s">
        <v>28</v>
      </c>
    </row>
    <row r="1271" spans="1:10" x14ac:dyDescent="0.25">
      <c r="A1271" t="s">
        <v>1301</v>
      </c>
      <c r="B1271" s="1">
        <v>43310</v>
      </c>
      <c r="C1271" t="s">
        <v>30</v>
      </c>
      <c r="D1271" t="s">
        <v>31</v>
      </c>
      <c r="E1271">
        <v>13</v>
      </c>
      <c r="F1271">
        <v>16</v>
      </c>
      <c r="G1271">
        <v>208</v>
      </c>
      <c r="H1271">
        <v>7.0000000000000007E-2</v>
      </c>
      <c r="I1271">
        <v>14.560000000000002</v>
      </c>
      <c r="J1271" t="s">
        <v>17</v>
      </c>
    </row>
    <row r="1272" spans="1:10" x14ac:dyDescent="0.25">
      <c r="A1272" t="s">
        <v>1302</v>
      </c>
      <c r="B1272" s="1">
        <v>43310</v>
      </c>
      <c r="C1272" t="s">
        <v>19</v>
      </c>
      <c r="D1272" t="s">
        <v>27</v>
      </c>
      <c r="E1272">
        <v>19</v>
      </c>
      <c r="F1272">
        <v>230</v>
      </c>
      <c r="G1272">
        <v>4370</v>
      </c>
      <c r="H1272">
        <v>0.06</v>
      </c>
      <c r="I1272">
        <v>262.2</v>
      </c>
      <c r="J1272" t="s">
        <v>20</v>
      </c>
    </row>
    <row r="1273" spans="1:10" x14ac:dyDescent="0.25">
      <c r="A1273" t="s">
        <v>1303</v>
      </c>
      <c r="B1273" s="1">
        <v>43310</v>
      </c>
      <c r="C1273" t="s">
        <v>11</v>
      </c>
      <c r="D1273" t="s">
        <v>27</v>
      </c>
      <c r="E1273">
        <v>21</v>
      </c>
      <c r="F1273">
        <v>80</v>
      </c>
      <c r="G1273">
        <v>1680</v>
      </c>
      <c r="H1273">
        <v>0.05</v>
      </c>
      <c r="I1273">
        <v>84</v>
      </c>
      <c r="J1273" t="s">
        <v>22</v>
      </c>
    </row>
    <row r="1274" spans="1:10" x14ac:dyDescent="0.25">
      <c r="A1274" t="s">
        <v>1304</v>
      </c>
      <c r="B1274" s="1">
        <v>43310</v>
      </c>
      <c r="C1274" t="s">
        <v>11</v>
      </c>
      <c r="D1274" t="s">
        <v>16</v>
      </c>
      <c r="E1274">
        <v>5</v>
      </c>
      <c r="F1274">
        <v>80</v>
      </c>
      <c r="G1274">
        <v>400</v>
      </c>
      <c r="H1274">
        <v>7.0000000000000007E-2</v>
      </c>
      <c r="I1274">
        <v>28.000000000000004</v>
      </c>
      <c r="J1274" t="s">
        <v>25</v>
      </c>
    </row>
    <row r="1275" spans="1:10" x14ac:dyDescent="0.25">
      <c r="A1275" t="s">
        <v>1305</v>
      </c>
      <c r="B1275" s="1">
        <v>43310</v>
      </c>
      <c r="C1275" t="s">
        <v>30</v>
      </c>
      <c r="D1275" t="s">
        <v>24</v>
      </c>
      <c r="E1275">
        <v>8</v>
      </c>
      <c r="F1275">
        <v>16</v>
      </c>
      <c r="G1275">
        <v>128</v>
      </c>
      <c r="H1275">
        <v>0.03</v>
      </c>
      <c r="I1275">
        <v>3.84</v>
      </c>
      <c r="J1275" t="s">
        <v>28</v>
      </c>
    </row>
    <row r="1276" spans="1:10" x14ac:dyDescent="0.25">
      <c r="A1276" t="s">
        <v>1306</v>
      </c>
      <c r="B1276" s="1">
        <v>43310</v>
      </c>
      <c r="C1276" t="s">
        <v>30</v>
      </c>
      <c r="D1276" t="s">
        <v>24</v>
      </c>
      <c r="E1276">
        <v>12</v>
      </c>
      <c r="F1276">
        <v>16</v>
      </c>
      <c r="G1276">
        <v>192</v>
      </c>
      <c r="H1276">
        <v>0.11</v>
      </c>
      <c r="I1276">
        <v>21.12</v>
      </c>
      <c r="J1276" t="s">
        <v>32</v>
      </c>
    </row>
    <row r="1277" spans="1:10" x14ac:dyDescent="0.25">
      <c r="A1277" t="s">
        <v>1307</v>
      </c>
      <c r="B1277" s="1">
        <v>43310</v>
      </c>
      <c r="C1277" t="s">
        <v>11</v>
      </c>
      <c r="D1277" t="s">
        <v>27</v>
      </c>
      <c r="E1277">
        <v>22</v>
      </c>
      <c r="F1277">
        <v>80</v>
      </c>
      <c r="G1277">
        <v>1760</v>
      </c>
      <c r="H1277">
        <v>0.03</v>
      </c>
      <c r="I1277">
        <v>52.8</v>
      </c>
      <c r="J1277" t="s">
        <v>35</v>
      </c>
    </row>
    <row r="1278" spans="1:10" x14ac:dyDescent="0.25">
      <c r="A1278" t="s">
        <v>1308</v>
      </c>
      <c r="B1278" s="1">
        <v>43310</v>
      </c>
      <c r="C1278" t="s">
        <v>15</v>
      </c>
      <c r="D1278" t="s">
        <v>12</v>
      </c>
      <c r="E1278">
        <v>5</v>
      </c>
      <c r="F1278">
        <v>40</v>
      </c>
      <c r="G1278">
        <v>200</v>
      </c>
      <c r="H1278">
        <v>0.09</v>
      </c>
      <c r="I1278">
        <v>18</v>
      </c>
      <c r="J1278" t="s">
        <v>37</v>
      </c>
    </row>
    <row r="1279" spans="1:10" x14ac:dyDescent="0.25">
      <c r="A1279" t="s">
        <v>1309</v>
      </c>
      <c r="B1279" s="1">
        <v>43311</v>
      </c>
      <c r="C1279" t="s">
        <v>34</v>
      </c>
      <c r="D1279" t="s">
        <v>16</v>
      </c>
      <c r="E1279">
        <v>23</v>
      </c>
      <c r="F1279">
        <v>150</v>
      </c>
      <c r="G1279">
        <v>3450</v>
      </c>
      <c r="H1279">
        <v>0.11</v>
      </c>
      <c r="I1279">
        <v>379.5</v>
      </c>
      <c r="J1279" t="s">
        <v>39</v>
      </c>
    </row>
    <row r="1280" spans="1:10" x14ac:dyDescent="0.25">
      <c r="A1280" t="s">
        <v>1310</v>
      </c>
      <c r="B1280" s="1">
        <v>43311</v>
      </c>
      <c r="C1280" t="s">
        <v>11</v>
      </c>
      <c r="D1280" t="s">
        <v>12</v>
      </c>
      <c r="E1280">
        <v>16</v>
      </c>
      <c r="F1280">
        <v>80</v>
      </c>
      <c r="G1280">
        <v>1280</v>
      </c>
      <c r="H1280">
        <v>0.03</v>
      </c>
      <c r="I1280">
        <v>38.4</v>
      </c>
      <c r="J1280" t="s">
        <v>41</v>
      </c>
    </row>
    <row r="1281" spans="1:10" x14ac:dyDescent="0.25">
      <c r="A1281" t="s">
        <v>1311</v>
      </c>
      <c r="B1281" s="1">
        <v>43311</v>
      </c>
      <c r="C1281" t="s">
        <v>34</v>
      </c>
      <c r="D1281" t="s">
        <v>31</v>
      </c>
      <c r="E1281">
        <v>15</v>
      </c>
      <c r="F1281">
        <v>150</v>
      </c>
      <c r="G1281">
        <v>2250</v>
      </c>
      <c r="H1281">
        <v>7.0000000000000007E-2</v>
      </c>
      <c r="I1281">
        <v>157.50000000000003</v>
      </c>
      <c r="J1281" t="s">
        <v>43</v>
      </c>
    </row>
    <row r="1282" spans="1:10" x14ac:dyDescent="0.25">
      <c r="A1282" t="s">
        <v>1312</v>
      </c>
      <c r="B1282" s="1">
        <v>43311</v>
      </c>
      <c r="C1282" t="s">
        <v>15</v>
      </c>
      <c r="D1282" t="s">
        <v>12</v>
      </c>
      <c r="E1282">
        <v>20</v>
      </c>
      <c r="F1282">
        <v>40</v>
      </c>
      <c r="G1282">
        <v>800</v>
      </c>
      <c r="H1282">
        <v>0.04</v>
      </c>
      <c r="I1282">
        <v>32</v>
      </c>
      <c r="J1282" t="s">
        <v>13</v>
      </c>
    </row>
    <row r="1283" spans="1:10" x14ac:dyDescent="0.25">
      <c r="A1283" t="s">
        <v>1313</v>
      </c>
      <c r="B1283" s="1">
        <v>43311</v>
      </c>
      <c r="C1283" t="s">
        <v>19</v>
      </c>
      <c r="D1283" t="s">
        <v>24</v>
      </c>
      <c r="E1283">
        <v>10</v>
      </c>
      <c r="F1283">
        <v>230</v>
      </c>
      <c r="G1283">
        <v>2300</v>
      </c>
      <c r="H1283">
        <v>0.02</v>
      </c>
      <c r="I1283">
        <v>46</v>
      </c>
      <c r="J1283" t="s">
        <v>17</v>
      </c>
    </row>
    <row r="1284" spans="1:10" x14ac:dyDescent="0.25">
      <c r="A1284" t="s">
        <v>1314</v>
      </c>
      <c r="B1284" s="1">
        <v>43311</v>
      </c>
      <c r="C1284" t="s">
        <v>11</v>
      </c>
      <c r="D1284" t="s">
        <v>16</v>
      </c>
      <c r="E1284">
        <v>9</v>
      </c>
      <c r="F1284">
        <v>80</v>
      </c>
      <c r="G1284">
        <v>720</v>
      </c>
      <c r="H1284">
        <v>0.03</v>
      </c>
      <c r="I1284">
        <v>21.599999999999998</v>
      </c>
      <c r="J1284" t="s">
        <v>20</v>
      </c>
    </row>
    <row r="1285" spans="1:10" x14ac:dyDescent="0.25">
      <c r="A1285" t="s">
        <v>1315</v>
      </c>
      <c r="B1285" s="1">
        <v>43311</v>
      </c>
      <c r="C1285" t="s">
        <v>19</v>
      </c>
      <c r="D1285" t="s">
        <v>12</v>
      </c>
      <c r="E1285">
        <v>16</v>
      </c>
      <c r="F1285">
        <v>230</v>
      </c>
      <c r="G1285">
        <v>3680</v>
      </c>
      <c r="H1285">
        <v>7.0000000000000007E-2</v>
      </c>
      <c r="I1285">
        <v>257.60000000000002</v>
      </c>
      <c r="J1285" t="s">
        <v>22</v>
      </c>
    </row>
    <row r="1286" spans="1:10" x14ac:dyDescent="0.25">
      <c r="A1286" t="s">
        <v>1316</v>
      </c>
      <c r="B1286" s="1">
        <v>43311</v>
      </c>
      <c r="C1286" t="s">
        <v>11</v>
      </c>
      <c r="D1286" t="s">
        <v>16</v>
      </c>
      <c r="E1286">
        <v>21</v>
      </c>
      <c r="F1286">
        <v>80</v>
      </c>
      <c r="G1286">
        <v>1680</v>
      </c>
      <c r="H1286">
        <v>0.04</v>
      </c>
      <c r="I1286">
        <v>67.2</v>
      </c>
      <c r="J1286" t="s">
        <v>25</v>
      </c>
    </row>
    <row r="1287" spans="1:10" x14ac:dyDescent="0.25">
      <c r="A1287" t="s">
        <v>1317</v>
      </c>
      <c r="B1287" s="1">
        <v>43311</v>
      </c>
      <c r="C1287" t="s">
        <v>11</v>
      </c>
      <c r="D1287" t="s">
        <v>16</v>
      </c>
      <c r="E1287">
        <v>9</v>
      </c>
      <c r="F1287">
        <v>80</v>
      </c>
      <c r="G1287">
        <v>720</v>
      </c>
      <c r="H1287">
        <v>0.03</v>
      </c>
      <c r="I1287">
        <v>21.599999999999998</v>
      </c>
      <c r="J1287" t="s">
        <v>28</v>
      </c>
    </row>
    <row r="1288" spans="1:10" x14ac:dyDescent="0.25">
      <c r="A1288" t="s">
        <v>1318</v>
      </c>
      <c r="B1288" s="1">
        <v>43311</v>
      </c>
      <c r="C1288" t="s">
        <v>15</v>
      </c>
      <c r="D1288" t="s">
        <v>16</v>
      </c>
      <c r="E1288">
        <v>4</v>
      </c>
      <c r="F1288">
        <v>40</v>
      </c>
      <c r="G1288">
        <v>160</v>
      </c>
      <c r="H1288">
        <v>0.12</v>
      </c>
      <c r="I1288">
        <v>19.2</v>
      </c>
      <c r="J1288" t="s">
        <v>17</v>
      </c>
    </row>
    <row r="1289" spans="1:10" x14ac:dyDescent="0.25">
      <c r="A1289" t="s">
        <v>1319</v>
      </c>
      <c r="B1289" s="1">
        <v>43311</v>
      </c>
      <c r="C1289" t="s">
        <v>19</v>
      </c>
      <c r="D1289" t="s">
        <v>24</v>
      </c>
      <c r="E1289">
        <v>5</v>
      </c>
      <c r="F1289">
        <v>230</v>
      </c>
      <c r="G1289">
        <v>1150</v>
      </c>
      <c r="H1289">
        <v>0.01</v>
      </c>
      <c r="I1289">
        <v>11.5</v>
      </c>
      <c r="J1289" t="s">
        <v>20</v>
      </c>
    </row>
    <row r="1290" spans="1:10" x14ac:dyDescent="0.25">
      <c r="A1290" t="s">
        <v>1320</v>
      </c>
      <c r="B1290" s="1">
        <v>43311</v>
      </c>
      <c r="C1290" t="s">
        <v>30</v>
      </c>
      <c r="D1290" t="s">
        <v>12</v>
      </c>
      <c r="E1290">
        <v>18</v>
      </c>
      <c r="F1290">
        <v>16</v>
      </c>
      <c r="G1290">
        <v>288</v>
      </c>
      <c r="H1290">
        <v>0.05</v>
      </c>
      <c r="I1290">
        <v>14.4</v>
      </c>
      <c r="J1290" t="s">
        <v>22</v>
      </c>
    </row>
    <row r="1291" spans="1:10" x14ac:dyDescent="0.25">
      <c r="A1291" t="s">
        <v>1321</v>
      </c>
      <c r="B1291" s="1">
        <v>43312</v>
      </c>
      <c r="C1291" t="s">
        <v>11</v>
      </c>
      <c r="D1291" t="s">
        <v>24</v>
      </c>
      <c r="E1291">
        <v>6</v>
      </c>
      <c r="F1291">
        <v>80</v>
      </c>
      <c r="G1291">
        <v>480</v>
      </c>
      <c r="H1291">
        <v>0.01</v>
      </c>
      <c r="I1291">
        <v>4.8</v>
      </c>
      <c r="J1291" t="s">
        <v>25</v>
      </c>
    </row>
    <row r="1292" spans="1:10" x14ac:dyDescent="0.25">
      <c r="A1292" t="s">
        <v>1322</v>
      </c>
      <c r="B1292" s="1">
        <v>43312</v>
      </c>
      <c r="C1292" t="s">
        <v>34</v>
      </c>
      <c r="D1292" t="s">
        <v>31</v>
      </c>
      <c r="E1292">
        <v>4</v>
      </c>
      <c r="F1292">
        <v>150</v>
      </c>
      <c r="G1292">
        <v>600</v>
      </c>
      <c r="H1292">
        <v>0.05</v>
      </c>
      <c r="I1292">
        <v>30</v>
      </c>
      <c r="J1292" t="s">
        <v>28</v>
      </c>
    </row>
    <row r="1293" spans="1:10" x14ac:dyDescent="0.25">
      <c r="A1293" t="s">
        <v>1323</v>
      </c>
      <c r="B1293" s="1">
        <v>43312</v>
      </c>
      <c r="C1293" t="s">
        <v>19</v>
      </c>
      <c r="D1293" t="s">
        <v>31</v>
      </c>
      <c r="E1293">
        <v>21</v>
      </c>
      <c r="F1293">
        <v>230</v>
      </c>
      <c r="G1293">
        <v>4830</v>
      </c>
      <c r="H1293">
        <v>0.05</v>
      </c>
      <c r="I1293">
        <v>241.5</v>
      </c>
      <c r="J1293" t="s">
        <v>32</v>
      </c>
    </row>
    <row r="1294" spans="1:10" x14ac:dyDescent="0.25">
      <c r="A1294" t="s">
        <v>1324</v>
      </c>
      <c r="B1294" s="1">
        <v>43312</v>
      </c>
      <c r="C1294" t="s">
        <v>34</v>
      </c>
      <c r="D1294" t="s">
        <v>12</v>
      </c>
      <c r="E1294">
        <v>4</v>
      </c>
      <c r="F1294">
        <v>150</v>
      </c>
      <c r="G1294">
        <v>600</v>
      </c>
      <c r="H1294">
        <v>0.06</v>
      </c>
      <c r="I1294">
        <v>36</v>
      </c>
      <c r="J1294" t="s">
        <v>35</v>
      </c>
    </row>
    <row r="1295" spans="1:10" x14ac:dyDescent="0.25">
      <c r="A1295" t="s">
        <v>1325</v>
      </c>
      <c r="B1295" s="1">
        <v>43312</v>
      </c>
      <c r="C1295" t="s">
        <v>11</v>
      </c>
      <c r="D1295" t="s">
        <v>16</v>
      </c>
      <c r="E1295">
        <v>2</v>
      </c>
      <c r="F1295">
        <v>80</v>
      </c>
      <c r="G1295">
        <v>160</v>
      </c>
      <c r="H1295">
        <v>0.04</v>
      </c>
      <c r="I1295">
        <v>6.4</v>
      </c>
      <c r="J1295" t="s">
        <v>37</v>
      </c>
    </row>
    <row r="1296" spans="1:10" x14ac:dyDescent="0.25">
      <c r="A1296" t="s">
        <v>1326</v>
      </c>
      <c r="B1296" s="1">
        <v>43312</v>
      </c>
      <c r="C1296" t="s">
        <v>30</v>
      </c>
      <c r="D1296" t="s">
        <v>16</v>
      </c>
      <c r="E1296">
        <v>5</v>
      </c>
      <c r="F1296">
        <v>16</v>
      </c>
      <c r="G1296">
        <v>80</v>
      </c>
      <c r="H1296">
        <v>0.11</v>
      </c>
      <c r="I1296">
        <v>8.8000000000000007</v>
      </c>
      <c r="J1296" t="s">
        <v>39</v>
      </c>
    </row>
    <row r="1297" spans="1:10" x14ac:dyDescent="0.25">
      <c r="A1297" t="s">
        <v>1327</v>
      </c>
      <c r="B1297" s="1">
        <v>43312</v>
      </c>
      <c r="C1297" t="s">
        <v>34</v>
      </c>
      <c r="D1297" t="s">
        <v>31</v>
      </c>
      <c r="E1297">
        <v>23</v>
      </c>
      <c r="F1297">
        <v>150</v>
      </c>
      <c r="G1297">
        <v>3450</v>
      </c>
      <c r="H1297">
        <v>0.08</v>
      </c>
      <c r="I1297">
        <v>276</v>
      </c>
      <c r="J1297" t="s">
        <v>41</v>
      </c>
    </row>
    <row r="1298" spans="1:10" x14ac:dyDescent="0.25">
      <c r="A1298" t="s">
        <v>1328</v>
      </c>
      <c r="B1298" s="1">
        <v>43312</v>
      </c>
      <c r="C1298" t="s">
        <v>11</v>
      </c>
      <c r="D1298" t="s">
        <v>16</v>
      </c>
      <c r="E1298">
        <v>3</v>
      </c>
      <c r="F1298">
        <v>80</v>
      </c>
      <c r="G1298">
        <v>240</v>
      </c>
      <c r="H1298">
        <v>0.02</v>
      </c>
      <c r="I1298">
        <v>4.8</v>
      </c>
      <c r="J1298" t="s">
        <v>43</v>
      </c>
    </row>
    <row r="1299" spans="1:10" x14ac:dyDescent="0.25">
      <c r="A1299" t="s">
        <v>1329</v>
      </c>
      <c r="B1299" s="1">
        <v>43312</v>
      </c>
      <c r="C1299" t="s">
        <v>19</v>
      </c>
      <c r="D1299" t="s">
        <v>31</v>
      </c>
      <c r="E1299">
        <v>17</v>
      </c>
      <c r="F1299">
        <v>230</v>
      </c>
      <c r="G1299">
        <v>3910</v>
      </c>
      <c r="H1299">
        <v>0.11</v>
      </c>
      <c r="I1299">
        <v>430.1</v>
      </c>
      <c r="J1299" t="s">
        <v>13</v>
      </c>
    </row>
    <row r="1300" spans="1:10" x14ac:dyDescent="0.25">
      <c r="A1300" t="s">
        <v>1330</v>
      </c>
      <c r="B1300" s="1">
        <v>43312</v>
      </c>
      <c r="C1300" t="s">
        <v>15</v>
      </c>
      <c r="D1300" t="s">
        <v>24</v>
      </c>
      <c r="E1300">
        <v>11</v>
      </c>
      <c r="F1300">
        <v>40</v>
      </c>
      <c r="G1300">
        <v>440</v>
      </c>
      <c r="H1300">
        <v>0.05</v>
      </c>
      <c r="I1300">
        <v>22</v>
      </c>
      <c r="J1300" t="s">
        <v>17</v>
      </c>
    </row>
    <row r="1301" spans="1:10" x14ac:dyDescent="0.25">
      <c r="A1301" t="s">
        <v>1331</v>
      </c>
      <c r="B1301" s="1">
        <v>43312</v>
      </c>
      <c r="C1301" t="s">
        <v>15</v>
      </c>
      <c r="D1301" t="s">
        <v>24</v>
      </c>
      <c r="E1301">
        <v>13</v>
      </c>
      <c r="F1301">
        <v>40</v>
      </c>
      <c r="G1301">
        <v>520</v>
      </c>
      <c r="H1301">
        <v>0.02</v>
      </c>
      <c r="I1301">
        <v>10.4</v>
      </c>
      <c r="J1301" t="s">
        <v>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DD72A-77E1-447F-A41D-968B19869631}">
  <dimension ref="A1"/>
  <sheetViews>
    <sheetView workbookViewId="0">
      <selection activeCell="A2" sqref="A2"/>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E5E473-94CF-469F-B020-7EBB017DEF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Dashboard</vt:lpstr>
      <vt:lpstr>Order by sales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Patil</dc:creator>
  <cp:lastModifiedBy>Rohan Patil</cp:lastModifiedBy>
  <dcterms:created xsi:type="dcterms:W3CDTF">2026-03-10T06:05:10Z</dcterms:created>
  <dcterms:modified xsi:type="dcterms:W3CDTF">2026-03-15T13:37:00Z</dcterms:modified>
</cp:coreProperties>
</file>